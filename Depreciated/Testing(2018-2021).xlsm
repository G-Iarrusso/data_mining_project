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data_mining_project\Depreciated\"/>
    </mc:Choice>
  </mc:AlternateContent>
  <xr:revisionPtr revIDLastSave="0" documentId="13_ncr:1_{2400F592-0723-4E55-A0DD-3C4EAD7948B4}" xr6:coauthVersionLast="47" xr6:coauthVersionMax="47" xr10:uidLastSave="{00000000-0000-0000-0000-000000000000}"/>
  <bookViews>
    <workbookView xWindow="-98" yWindow="-98" windowWidth="22695" windowHeight="14595" xr2:uid="{B1B90169-4E67-44A6-8845-99140E80E3C3}"/>
  </bookViews>
  <sheets>
    <sheet name="Append21" sheetId="2" r:id="rId1"/>
    <sheet name="Sheet1" sheetId="1" r:id="rId2"/>
  </sheets>
  <definedNames>
    <definedName name="ExternalData_1" localSheetId="0" hidden="1">Append21!$A$1:$L$229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9" i="2" l="1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80D1813-9E83-49FA-B16D-67D371830E9B}" keepAlive="1" name="Query - Append21" description="Connection to the 'Append21' query in the workbook." type="5" refreshedVersion="7" background="1" saveData="1">
    <dbPr connection="Provider=Microsoft.Mashup.OleDb.1;Data Source=$Workbook$;Location=Append21;Extended Properties=&quot;&quot;" command="SELECT * FROM [Append21]"/>
  </connection>
</connections>
</file>

<file path=xl/sharedStrings.xml><?xml version="1.0" encoding="utf-8"?>
<sst xmlns="http://schemas.openxmlformats.org/spreadsheetml/2006/main" count="698" uniqueCount="355">
  <si>
    <t>Pos</t>
  </si>
  <si>
    <t>School</t>
  </si>
  <si>
    <t>Ht</t>
  </si>
  <si>
    <t>Wt</t>
  </si>
  <si>
    <t>40yd</t>
  </si>
  <si>
    <t>Vertical</t>
  </si>
  <si>
    <t>Bench</t>
  </si>
  <si>
    <t>Broad Jump</t>
  </si>
  <si>
    <t>3Cone</t>
  </si>
  <si>
    <t>Shuttle</t>
  </si>
  <si>
    <t>Washington</t>
  </si>
  <si>
    <t>Notre Dame</t>
  </si>
  <si>
    <t/>
  </si>
  <si>
    <t>Louisville</t>
  </si>
  <si>
    <t>Arkansas</t>
  </si>
  <si>
    <t>C</t>
  </si>
  <si>
    <t>Michigan State</t>
  </si>
  <si>
    <t>Penn State</t>
  </si>
  <si>
    <t>Oklahoma</t>
  </si>
  <si>
    <t>Kansas</t>
  </si>
  <si>
    <t>Tulane</t>
  </si>
  <si>
    <t>Georgia</t>
  </si>
  <si>
    <t>Alabama</t>
  </si>
  <si>
    <t>Memphis</t>
  </si>
  <si>
    <t>Miami (FL)</t>
  </si>
  <si>
    <t>Ohio State</t>
  </si>
  <si>
    <t>Arizona State</t>
  </si>
  <si>
    <t>Wake Forest</t>
  </si>
  <si>
    <t>San Diego State</t>
  </si>
  <si>
    <t>OT</t>
  </si>
  <si>
    <t>Stanford</t>
  </si>
  <si>
    <t>Nebraska</t>
  </si>
  <si>
    <t>Florida</t>
  </si>
  <si>
    <t>USC</t>
  </si>
  <si>
    <t>Clemson</t>
  </si>
  <si>
    <t>Texas Tech</t>
  </si>
  <si>
    <t>Humboldt State</t>
  </si>
  <si>
    <t>Oregon</t>
  </si>
  <si>
    <t>Auburn</t>
  </si>
  <si>
    <t>Temple</t>
  </si>
  <si>
    <t>LSU</t>
  </si>
  <si>
    <t>North Carolina State</t>
  </si>
  <si>
    <t>Wisconsin</t>
  </si>
  <si>
    <t>Indiana</t>
  </si>
  <si>
    <t>Michigan</t>
  </si>
  <si>
    <t>OG</t>
  </si>
  <si>
    <t>Nevada</t>
  </si>
  <si>
    <t>West Virginia</t>
  </si>
  <si>
    <t>Iowa</t>
  </si>
  <si>
    <t>Bowling Green</t>
  </si>
  <si>
    <t>Maine</t>
  </si>
  <si>
    <t>UCLA</t>
  </si>
  <si>
    <t>Texas</t>
  </si>
  <si>
    <t>Virginia Tech</t>
  </si>
  <si>
    <t>Boise State</t>
  </si>
  <si>
    <t>Washington State</t>
  </si>
  <si>
    <t>Connecticut</t>
  </si>
  <si>
    <t>Utah</t>
  </si>
  <si>
    <t>West. Michigan</t>
  </si>
  <si>
    <t>Appalachian State</t>
  </si>
  <si>
    <t>East Carolina</t>
  </si>
  <si>
    <t>West Georgia</t>
  </si>
  <si>
    <t>Mississippi</t>
  </si>
  <si>
    <t>Pittsburgh</t>
  </si>
  <si>
    <t>Texas A&amp;M</t>
  </si>
  <si>
    <t>Texas-El Paso</t>
  </si>
  <si>
    <t>TCU</t>
  </si>
  <si>
    <t>South Carolina</t>
  </si>
  <si>
    <t>Northwestern</t>
  </si>
  <si>
    <t>Western Kentucky</t>
  </si>
  <si>
    <t>Florida State</t>
  </si>
  <si>
    <t>Maryland</t>
  </si>
  <si>
    <t>Weber State</t>
  </si>
  <si>
    <t>Boston Col.</t>
  </si>
  <si>
    <t>South Carolina State</t>
  </si>
  <si>
    <t>Marshall</t>
  </si>
  <si>
    <t>California</t>
  </si>
  <si>
    <t>OL</t>
  </si>
  <si>
    <t>K.J. Malone</t>
  </si>
  <si>
    <t>Missouri</t>
  </si>
  <si>
    <t>Colorado</t>
  </si>
  <si>
    <t>North Carolina A&amp;T</t>
  </si>
  <si>
    <t>Stony Brook</t>
  </si>
  <si>
    <t>Skyler Phillips</t>
  </si>
  <si>
    <t>Idaho State</t>
  </si>
  <si>
    <t>Kansas State</t>
  </si>
  <si>
    <t>Mississippi State</t>
  </si>
  <si>
    <t>Wagner</t>
  </si>
  <si>
    <t>North Carolina</t>
  </si>
  <si>
    <t>Army</t>
  </si>
  <si>
    <t>Louisiana-Lafayette</t>
  </si>
  <si>
    <t>BYU</t>
  </si>
  <si>
    <t>Purdue</t>
  </si>
  <si>
    <t>North Texas</t>
  </si>
  <si>
    <t>Ball State</t>
  </si>
  <si>
    <t>Kentucky</t>
  </si>
  <si>
    <t>Fresno State</t>
  </si>
  <si>
    <t>Minnesota</t>
  </si>
  <si>
    <t>Charlotte</t>
  </si>
  <si>
    <t>Houston</t>
  </si>
  <si>
    <t>Villanova</t>
  </si>
  <si>
    <t>Alabama State</t>
  </si>
  <si>
    <t>Baylor</t>
  </si>
  <si>
    <t>Buffalo</t>
  </si>
  <si>
    <t>Devon Johnson</t>
  </si>
  <si>
    <t>Ferris State</t>
  </si>
  <si>
    <t>Morgan State</t>
  </si>
  <si>
    <t>Sioux Falls</t>
  </si>
  <si>
    <t>Northern Illinois</t>
  </si>
  <si>
    <t>Oli Udoh</t>
  </si>
  <si>
    <t>Elon</t>
  </si>
  <si>
    <t>South Alabama</t>
  </si>
  <si>
    <t>Saint John's (MN)</t>
  </si>
  <si>
    <t>Rhode Island</t>
  </si>
  <si>
    <t>Cincinnati</t>
  </si>
  <si>
    <t>Louisiana Tech</t>
  </si>
  <si>
    <t>Arkansas St.</t>
  </si>
  <si>
    <t>Florida A&amp;M</t>
  </si>
  <si>
    <t>Cole Banwart</t>
  </si>
  <si>
    <t>Chase Behrndt</t>
  </si>
  <si>
    <t>Ohio St.</t>
  </si>
  <si>
    <t>John Brunner</t>
  </si>
  <si>
    <t>Oklahoma St.</t>
  </si>
  <si>
    <t>Jake Burton</t>
  </si>
  <si>
    <t>Donavaughn Campbell</t>
  </si>
  <si>
    <t>Air Force</t>
  </si>
  <si>
    <t>Harry Crider</t>
  </si>
  <si>
    <t>Jake Curhan</t>
  </si>
  <si>
    <t>Jon Dietzen</t>
  </si>
  <si>
    <t>Illinois</t>
  </si>
  <si>
    <t>Matt Farniok</t>
  </si>
  <si>
    <t>Penn St.</t>
  </si>
  <si>
    <t>Noah Hannon</t>
  </si>
  <si>
    <t>Appalachian St.</t>
  </si>
  <si>
    <t>Darius Harper</t>
  </si>
  <si>
    <t>Grant Hermanns</t>
  </si>
  <si>
    <t>Adam Jewell</t>
  </si>
  <si>
    <t>Middle Tenn. St.</t>
  </si>
  <si>
    <t>Ben Knutson</t>
  </si>
  <si>
    <t>North Dakota St.</t>
  </si>
  <si>
    <t>Nolan Laufenberg</t>
  </si>
  <si>
    <t>Wisconsinâ€“Whitewater</t>
  </si>
  <si>
    <t>Jordan Meredith</t>
  </si>
  <si>
    <t>Ryan Neuzil</t>
  </si>
  <si>
    <t>Royce Newman</t>
  </si>
  <si>
    <t>Jarrett Patterson</t>
  </si>
  <si>
    <t>Teton Saltes</t>
  </si>
  <si>
    <t>New Mexico</t>
  </si>
  <si>
    <t>Foster Sarell</t>
  </si>
  <si>
    <t>Ry Schneider</t>
  </si>
  <si>
    <t>Jacob Shoemaker</t>
  </si>
  <si>
    <t>D'Ante Smith</t>
  </si>
  <si>
    <t>Tim Tanner-Blair</t>
  </si>
  <si>
    <t>Fresno St.</t>
  </si>
  <si>
    <t>Gunnar Vogel</t>
  </si>
  <si>
    <t>Carson Williams</t>
  </si>
  <si>
    <t>Draft pick</t>
  </si>
  <si>
    <t>Player name</t>
  </si>
  <si>
    <t>Brian Allen</t>
  </si>
  <si>
    <t>David Bright</t>
  </si>
  <si>
    <t>Orlando Brown</t>
  </si>
  <si>
    <t>Alex Cappa</t>
  </si>
  <si>
    <t>Geron Christian</t>
  </si>
  <si>
    <t>Will Clapp</t>
  </si>
  <si>
    <t>Mason Cole</t>
  </si>
  <si>
    <t>Austin Corbett</t>
  </si>
  <si>
    <t>Tyrell Crosby</t>
  </si>
  <si>
    <t>James Daniels</t>
  </si>
  <si>
    <t>Jamil Demby</t>
  </si>
  <si>
    <t>Nick Gates</t>
  </si>
  <si>
    <t>Colby Gossett</t>
  </si>
  <si>
    <t>Desmond Harrison</t>
  </si>
  <si>
    <t>Taylor Hearn</t>
  </si>
  <si>
    <t>Will Hernandez</t>
  </si>
  <si>
    <t>Jamarco Jones</t>
  </si>
  <si>
    <t>Sam Jones</t>
  </si>
  <si>
    <t>Jaryd Jones-Smith</t>
  </si>
  <si>
    <t>Rick Leonard</t>
  </si>
  <si>
    <t>Cole Madison</t>
  </si>
  <si>
    <t>Kc McDermott</t>
  </si>
  <si>
    <t>Mike McGlinchey</t>
  </si>
  <si>
    <t>Kolton Miller</t>
  </si>
  <si>
    <t>Quenton Nelson</t>
  </si>
  <si>
    <t>Joseph Noteboom</t>
  </si>
  <si>
    <t>Brian O'neill</t>
  </si>
  <si>
    <t>Chukwuma Okorafor</t>
  </si>
  <si>
    <t>Brandon Parker</t>
  </si>
  <si>
    <t>Timon Parris</t>
  </si>
  <si>
    <t>Billy Price</t>
  </si>
  <si>
    <t>Scott Quessenberry</t>
  </si>
  <si>
    <t>Frank Ragnow</t>
  </si>
  <si>
    <t>Martinas Rankin</t>
  </si>
  <si>
    <t>Will Richardson</t>
  </si>
  <si>
    <t>Greg Senat</t>
  </si>
  <si>
    <t>Coleman Shelton</t>
  </si>
  <si>
    <t>Braden Smith</t>
  </si>
  <si>
    <t>Rod Taylor</t>
  </si>
  <si>
    <t>Wyatt Teller</t>
  </si>
  <si>
    <t>Brett Toth</t>
  </si>
  <si>
    <t>Salesi Uhatafe</t>
  </si>
  <si>
    <t>Toby Weathersby</t>
  </si>
  <si>
    <t>Sean Welsh</t>
  </si>
  <si>
    <t>Connor Williams</t>
  </si>
  <si>
    <t>Isaiah Wynn</t>
  </si>
  <si>
    <t>Paul Adams</t>
  </si>
  <si>
    <t>Zack Bailey</t>
  </si>
  <si>
    <t>Alex Bars</t>
  </si>
  <si>
    <t>Jackson Barton</t>
  </si>
  <si>
    <t>Ryan Bates</t>
  </si>
  <si>
    <t>Beau Benzschawel</t>
  </si>
  <si>
    <t>Garrett Bradbury</t>
  </si>
  <si>
    <t>Yodny Cajuste</t>
  </si>
  <si>
    <t>Deion Calhoun</t>
  </si>
  <si>
    <t>Dennis Daley</t>
  </si>
  <si>
    <t>Nate Davis</t>
  </si>
  <si>
    <t>Michael Deiter</t>
  </si>
  <si>
    <t>Andre Dillard</t>
  </si>
  <si>
    <t>Chuma Edoga</t>
  </si>
  <si>
    <t>David Edwards</t>
  </si>
  <si>
    <t>Bobby Evans</t>
  </si>
  <si>
    <t>Cody Ford</t>
  </si>
  <si>
    <t>Hjalte Froholdt</t>
  </si>
  <si>
    <t>Lamont Gaillard</t>
  </si>
  <si>
    <t>Derwin Gray</t>
  </si>
  <si>
    <t>Donnell Greene</t>
  </si>
  <si>
    <t>Ethan Greenidge</t>
  </si>
  <si>
    <t>Phil Haynes</t>
  </si>
  <si>
    <t>Nate Herbig</t>
  </si>
  <si>
    <t>Tytus Howard</t>
  </si>
  <si>
    <t>Mitch Hyatt</t>
  </si>
  <si>
    <t>Martez Ivey</t>
  </si>
  <si>
    <t>Andre James</t>
  </si>
  <si>
    <t>Elgton Jenkins</t>
  </si>
  <si>
    <t>Fred Johnson</t>
  </si>
  <si>
    <t>Tyler Jones</t>
  </si>
  <si>
    <t>Michael Jordan</t>
  </si>
  <si>
    <t>Brandon Knight</t>
  </si>
  <si>
    <t>Chris Lindstrom</t>
  </si>
  <si>
    <t>Greg Little</t>
  </si>
  <si>
    <t>Erik McCoy</t>
  </si>
  <si>
    <t>Kaleb McGary</t>
  </si>
  <si>
    <t>Connor McGovern</t>
  </si>
  <si>
    <t>Joshua Miles</t>
  </si>
  <si>
    <t>Yosh Nijman</t>
  </si>
  <si>
    <t>Iosua Opeta</t>
  </si>
  <si>
    <t>Javon Patterson</t>
  </si>
  <si>
    <t>Ross Pierschbacher</t>
  </si>
  <si>
    <t>Trey Pipkins</t>
  </si>
  <si>
    <t>Ryan Pope</t>
  </si>
  <si>
    <t>Ben Powers</t>
  </si>
  <si>
    <t>Isaiah Prince</t>
  </si>
  <si>
    <t>Dalton Risner</t>
  </si>
  <si>
    <t>Tyler Roemer</t>
  </si>
  <si>
    <t>Dru Samia</t>
  </si>
  <si>
    <t>Max Scharping</t>
  </si>
  <si>
    <t>William Sweet</t>
  </si>
  <si>
    <t>Trevon Tate</t>
  </si>
  <si>
    <t>Jawaan Taylor</t>
  </si>
  <si>
    <t>Jonah Williams</t>
  </si>
  <si>
    <t>Trey Adams</t>
  </si>
  <si>
    <t>Hakeem Adeniji</t>
  </si>
  <si>
    <t>Tremayne Anchrum</t>
  </si>
  <si>
    <t>Ben Bartch</t>
  </si>
  <si>
    <t>Mekhi Becton</t>
  </si>
  <si>
    <t>Tyler Biadasz</t>
  </si>
  <si>
    <t>Ben Bredeson</t>
  </si>
  <si>
    <t>Cohl Cabral</t>
  </si>
  <si>
    <t>Saahdiq Charles</t>
  </si>
  <si>
    <t>Cameron Clark</t>
  </si>
  <si>
    <t>Ezra Cleveland</t>
  </si>
  <si>
    <t>Trystan Colon-Castillo</t>
  </si>
  <si>
    <t>Lloyd Cushenberry</t>
  </si>
  <si>
    <t>Jack Driscoll</t>
  </si>
  <si>
    <t>Yasir Durant</t>
  </si>
  <si>
    <t>Jake Hanson</t>
  </si>
  <si>
    <t>Nick Harris</t>
  </si>
  <si>
    <t>Charlie Heck</t>
  </si>
  <si>
    <t>Matt Hennessy</t>
  </si>
  <si>
    <t>Justin Herron</t>
  </si>
  <si>
    <t>Robert Hunt</t>
  </si>
  <si>
    <t>Keith Ismael</t>
  </si>
  <si>
    <t>Cordel Iwuagwu</t>
  </si>
  <si>
    <t>Austin Jackson</t>
  </si>
  <si>
    <t>Jonah Jackson</t>
  </si>
  <si>
    <t>Joshua Jones</t>
  </si>
  <si>
    <t>Solomon Kindley</t>
  </si>
  <si>
    <t>Shane Lemieux</t>
  </si>
  <si>
    <t>Damien Lewis</t>
  </si>
  <si>
    <t>Colton McKivitz</t>
  </si>
  <si>
    <t>John Molchon</t>
  </si>
  <si>
    <t>Kyle Murphy</t>
  </si>
  <si>
    <t>Netane Muti</t>
  </si>
  <si>
    <t>Lucas Niang</t>
  </si>
  <si>
    <t>Mike Onwenu</t>
  </si>
  <si>
    <t>Matt Peart</t>
  </si>
  <si>
    <t>Tyre Phillips</t>
  </si>
  <si>
    <t>Danny Pinter</t>
  </si>
  <si>
    <t>Cesar Ruiz</t>
  </si>
  <si>
    <t>Jon Runyan</t>
  </si>
  <si>
    <t>John Simpson</t>
  </si>
  <si>
    <t>Terence Steele</t>
  </si>
  <si>
    <t>Logan Stenberg</t>
  </si>
  <si>
    <t>Simon Stepaniak</t>
  </si>
  <si>
    <t>Alex Taylor</t>
  </si>
  <si>
    <t>Andrew Thomas</t>
  </si>
  <si>
    <t>Calvin Throckmorton</t>
  </si>
  <si>
    <t>Prince Tega Wanogho</t>
  </si>
  <si>
    <t>Darryl Williams</t>
  </si>
  <si>
    <t>Jedrick Wills</t>
  </si>
  <si>
    <t>Isaiah Wilson</t>
  </si>
  <si>
    <t>Tristan Wirfs</t>
  </si>
  <si>
    <t>Jack Anderson</t>
  </si>
  <si>
    <t>Calvin Ashley</t>
  </si>
  <si>
    <t>Kayode Awosika</t>
  </si>
  <si>
    <t>Josh Ball</t>
  </si>
  <si>
    <t>Aaron Banks</t>
  </si>
  <si>
    <t>Larry Borom</t>
  </si>
  <si>
    <t>Deonte Brown</t>
  </si>
  <si>
    <t>Jackson Carman</t>
  </si>
  <si>
    <t>Brady Christensen</t>
  </si>
  <si>
    <t>Ben Cleveland</t>
  </si>
  <si>
    <t>Samuel Cosmi</t>
  </si>
  <si>
    <t>Drew Dalman</t>
  </si>
  <si>
    <t>Wyatt Davis</t>
  </si>
  <si>
    <t>Adrian Ealy</t>
  </si>
  <si>
    <t>Liam Eichenberg</t>
  </si>
  <si>
    <t>Stone Forsythe</t>
  </si>
  <si>
    <t>Will Fries</t>
  </si>
  <si>
    <t>Kendrick Green</t>
  </si>
  <si>
    <t>Robert Hainsey</t>
  </si>
  <si>
    <t>Bryce Hargrove</t>
  </si>
  <si>
    <t>Brett Heggie</t>
  </si>
  <si>
    <t>Trey Hill</t>
  </si>
  <si>
    <t>James Hudson</t>
  </si>
  <si>
    <t>Creed Humphrey</t>
  </si>
  <si>
    <t>Sadarius Hutcherson</t>
  </si>
  <si>
    <t>Alaric Jackson</t>
  </si>
  <si>
    <t>Drake Jackson</t>
  </si>
  <si>
    <t>Brenden Jaimes</t>
  </si>
  <si>
    <t>Teven Jenkins</t>
  </si>
  <si>
    <t>Robert Jones</t>
  </si>
  <si>
    <t>Tommy Kraemer</t>
  </si>
  <si>
    <t>Cole Van Lanen</t>
  </si>
  <si>
    <t>Alex Leatherwood</t>
  </si>
  <si>
    <t>Walker Little</t>
  </si>
  <si>
    <t>Quinn Meinerz</t>
  </si>
  <si>
    <t>Jimmy Morrissey</t>
  </si>
  <si>
    <t>Josh Myers</t>
  </si>
  <si>
    <t>Dillon Radunz</t>
  </si>
  <si>
    <t>Penei Sewell</t>
  </si>
  <si>
    <t>William Sherman</t>
  </si>
  <si>
    <t>Rashawn Slater</t>
  </si>
  <si>
    <t>Syrus Tuitele</t>
  </si>
  <si>
    <t>Alijah Vera-Tucker</t>
  </si>
  <si>
    <t>Landon Young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</si>
</sst>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0A22110-5386-4A95-B5C8-B30F3D932C99}" autoFormatId="16" applyNumberFormats="0" applyBorderFormats="0" applyFontFormats="0" applyPatternFormats="0" applyAlignmentFormats="0" applyWidthHeightFormats="0">
  <queryTableRefresh nextId="14">
    <queryTableFields count="12">
      <queryTableField id="1" name="Player" tableColumnId="1"/>
      <queryTableField id="2" name="Pos" tableColumnId="2"/>
      <queryTableField id="3" name="School" tableColumnId="3"/>
      <queryTableField id="5" name="Ht" tableColumnId="5"/>
      <queryTableField id="6" name="Wt" tableColumnId="6"/>
      <queryTableField id="7" name="40yd" tableColumnId="7"/>
      <queryTableField id="8" name="Vertical" tableColumnId="8"/>
      <queryTableField id="9" name="Bench" tableColumnId="9"/>
      <queryTableField id="10" name="Broad Jump" tableColumnId="10"/>
      <queryTableField id="11" name="3Cone" tableColumnId="11"/>
      <queryTableField id="12" name="Shuttle" tableColumnId="12"/>
      <queryTableField id="13" name="Drafted (tm/rnd/yr)" tableColumnId="13"/>
    </queryTableFields>
    <queryTableDeletedFields count="1">
      <deletedField name="College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5AC50A-A897-41B6-AF6D-BB0AC67E05CC}" name="Append21" displayName="Append21" ref="A1:L229" tableType="queryTable" totalsRowShown="0">
  <autoFilter ref="A1:L229" xr:uid="{455AC50A-A897-41B6-AF6D-BB0AC67E05CC}"/>
  <tableColumns count="12">
    <tableColumn id="1" xr3:uid="{3D1F34EB-96CB-450C-909D-02C55E31AFE3}" uniqueName="1" name="Player name" queryTableFieldId="1" dataDxfId="4"/>
    <tableColumn id="2" xr3:uid="{928BE2D2-B339-4AE4-BF3C-0317EA678565}" uniqueName="2" name="Pos" queryTableFieldId="2" dataDxfId="3"/>
    <tableColumn id="3" xr3:uid="{51597843-917F-4B4C-8F53-6A9C128D7885}" uniqueName="3" name="School" queryTableFieldId="3" dataDxfId="2"/>
    <tableColumn id="5" xr3:uid="{FE2E139E-7D4E-4F04-AEB1-02DDA6E22BEB}" uniqueName="5" name="Ht" queryTableFieldId="5" dataDxfId="1"/>
    <tableColumn id="6" xr3:uid="{4CA4AFAA-70DA-4100-828A-D6A27D80C690}" uniqueName="6" name="Wt" queryTableFieldId="6"/>
    <tableColumn id="7" xr3:uid="{F905A10D-0062-4327-B013-35A11D878367}" uniqueName="7" name="40yd" queryTableFieldId="7"/>
    <tableColumn id="8" xr3:uid="{CE2D5860-7B71-477B-B814-DB5872C145CF}" uniqueName="8" name="Vertical" queryTableFieldId="8"/>
    <tableColumn id="9" xr3:uid="{9A3B7761-9B67-4FD9-B9E2-FF6D74C53207}" uniqueName="9" name="Bench" queryTableFieldId="9"/>
    <tableColumn id="10" xr3:uid="{90C6B3BB-E69B-4748-B229-4854A9295748}" uniqueName="10" name="Broad Jump" queryTableFieldId="10"/>
    <tableColumn id="11" xr3:uid="{B3D09F70-3480-43B9-A950-3AD9C8FAD7DB}" uniqueName="11" name="3Cone" queryTableFieldId="11"/>
    <tableColumn id="12" xr3:uid="{CE871CC1-F9AB-4EF0-82D7-8C55C92C2E90}" uniqueName="12" name="Shuttle" queryTableFieldId="12"/>
    <tableColumn id="13" xr3:uid="{54E016E9-5CD3-43A0-A468-3980907F3CBE}" uniqueName="13" name="Draft pick" queryTableFieldId="1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9BE14-3F61-4BC2-A9F5-943BA67FB965}">
  <dimension ref="A1:L229"/>
  <sheetViews>
    <sheetView tabSelected="1" topLeftCell="A196" workbookViewId="0">
      <selection activeCell="O17" sqref="O17"/>
    </sheetView>
  </sheetViews>
  <sheetFormatPr defaultRowHeight="14.25" x14ac:dyDescent="0.45"/>
  <cols>
    <col min="1" max="1" width="18.53125" bestFit="1" customWidth="1"/>
    <col min="2" max="2" width="6.06640625" bestFit="1" customWidth="1"/>
    <col min="3" max="3" width="22.19921875" bestFit="1" customWidth="1"/>
    <col min="4" max="4" width="5.9296875" bestFit="1" customWidth="1"/>
    <col min="5" max="5" width="5.59765625" bestFit="1" customWidth="1"/>
    <col min="6" max="6" width="7.06640625" bestFit="1" customWidth="1"/>
    <col min="7" max="7" width="9.46484375" bestFit="1" customWidth="1"/>
    <col min="8" max="8" width="8.19921875" bestFit="1" customWidth="1"/>
    <col min="9" max="9" width="13" bestFit="1" customWidth="1"/>
    <col min="10" max="10" width="8.33203125" bestFit="1" customWidth="1"/>
    <col min="11" max="11" width="9.06640625" bestFit="1" customWidth="1"/>
    <col min="12" max="12" width="10.73046875" bestFit="1" customWidth="1"/>
  </cols>
  <sheetData>
    <row r="1" spans="1:12" x14ac:dyDescent="0.45">
      <c r="A1" t="s">
        <v>157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156</v>
      </c>
    </row>
    <row r="2" spans="1:12" x14ac:dyDescent="0.45">
      <c r="A2" s="1" t="s">
        <v>158</v>
      </c>
      <c r="B2" s="1" t="s">
        <v>15</v>
      </c>
      <c r="C2" s="1" t="s">
        <v>16</v>
      </c>
      <c r="D2" s="1">
        <f>72+1</f>
        <v>73</v>
      </c>
      <c r="E2">
        <v>298</v>
      </c>
      <c r="F2">
        <v>5.34</v>
      </c>
      <c r="G2">
        <v>26.5</v>
      </c>
      <c r="H2">
        <v>27</v>
      </c>
      <c r="I2">
        <v>99</v>
      </c>
      <c r="J2">
        <v>7.81</v>
      </c>
      <c r="K2">
        <v>4.71</v>
      </c>
      <c r="L2" s="1">
        <v>111</v>
      </c>
    </row>
    <row r="3" spans="1:12" x14ac:dyDescent="0.45">
      <c r="A3" s="1" t="s">
        <v>159</v>
      </c>
      <c r="B3" s="1" t="s">
        <v>29</v>
      </c>
      <c r="C3" s="1" t="s">
        <v>30</v>
      </c>
      <c r="D3" s="1">
        <f>72+5</f>
        <v>77</v>
      </c>
      <c r="E3">
        <v>307</v>
      </c>
      <c r="L3" s="1">
        <v>-1</v>
      </c>
    </row>
    <row r="4" spans="1:12" x14ac:dyDescent="0.45">
      <c r="A4" s="1" t="s">
        <v>160</v>
      </c>
      <c r="B4" s="1" t="s">
        <v>29</v>
      </c>
      <c r="C4" s="1" t="s">
        <v>18</v>
      </c>
      <c r="D4" s="1">
        <f>72+8</f>
        <v>80</v>
      </c>
      <c r="E4">
        <v>345</v>
      </c>
      <c r="F4">
        <v>5.85</v>
      </c>
      <c r="G4">
        <v>19.5</v>
      </c>
      <c r="H4">
        <v>14</v>
      </c>
      <c r="I4">
        <v>82</v>
      </c>
      <c r="J4">
        <v>7.87</v>
      </c>
      <c r="K4">
        <v>5.38</v>
      </c>
      <c r="L4" s="1">
        <v>83</v>
      </c>
    </row>
    <row r="5" spans="1:12" x14ac:dyDescent="0.45">
      <c r="A5" s="1" t="s">
        <v>161</v>
      </c>
      <c r="B5" s="1" t="s">
        <v>29</v>
      </c>
      <c r="C5" s="1" t="s">
        <v>36</v>
      </c>
      <c r="D5" s="1">
        <f>72+6</f>
        <v>78</v>
      </c>
      <c r="E5">
        <v>305</v>
      </c>
      <c r="F5">
        <v>5.39</v>
      </c>
      <c r="G5">
        <v>26.5</v>
      </c>
      <c r="H5">
        <v>24</v>
      </c>
      <c r="I5">
        <v>97</v>
      </c>
      <c r="J5">
        <v>8.0399999999999991</v>
      </c>
      <c r="K5">
        <v>4.84</v>
      </c>
      <c r="L5" s="1">
        <v>94</v>
      </c>
    </row>
    <row r="6" spans="1:12" x14ac:dyDescent="0.45">
      <c r="A6" s="1" t="s">
        <v>162</v>
      </c>
      <c r="B6" s="1" t="s">
        <v>29</v>
      </c>
      <c r="C6" s="1" t="s">
        <v>13</v>
      </c>
      <c r="D6" s="1">
        <f>72+5</f>
        <v>77</v>
      </c>
      <c r="E6">
        <v>298</v>
      </c>
      <c r="F6">
        <v>5.33</v>
      </c>
      <c r="H6">
        <v>19</v>
      </c>
      <c r="L6" s="1">
        <v>74</v>
      </c>
    </row>
    <row r="7" spans="1:12" x14ac:dyDescent="0.45">
      <c r="A7" s="1" t="s">
        <v>163</v>
      </c>
      <c r="B7" s="1" t="s">
        <v>15</v>
      </c>
      <c r="C7" s="1" t="s">
        <v>40</v>
      </c>
      <c r="D7" s="1">
        <f>72+4</f>
        <v>76</v>
      </c>
      <c r="E7">
        <v>311</v>
      </c>
      <c r="F7">
        <v>5.39</v>
      </c>
      <c r="G7">
        <v>29</v>
      </c>
      <c r="H7">
        <v>25</v>
      </c>
      <c r="I7">
        <v>97</v>
      </c>
      <c r="J7">
        <v>8.0399999999999991</v>
      </c>
      <c r="K7">
        <v>4.92</v>
      </c>
      <c r="L7" s="1">
        <v>245</v>
      </c>
    </row>
    <row r="8" spans="1:12" x14ac:dyDescent="0.45">
      <c r="A8" s="1" t="s">
        <v>164</v>
      </c>
      <c r="B8" s="1" t="s">
        <v>15</v>
      </c>
      <c r="C8" s="1" t="s">
        <v>44</v>
      </c>
      <c r="D8" s="1">
        <f>72+4</f>
        <v>76</v>
      </c>
      <c r="E8">
        <v>307</v>
      </c>
      <c r="F8">
        <v>5.23</v>
      </c>
      <c r="G8">
        <v>23.5</v>
      </c>
      <c r="H8">
        <v>23</v>
      </c>
      <c r="I8">
        <v>104</v>
      </c>
      <c r="J8">
        <v>7.77</v>
      </c>
      <c r="K8">
        <v>4.78</v>
      </c>
      <c r="L8" s="1">
        <v>97</v>
      </c>
    </row>
    <row r="9" spans="1:12" x14ac:dyDescent="0.45">
      <c r="A9" s="1" t="s">
        <v>165</v>
      </c>
      <c r="B9" s="1" t="s">
        <v>45</v>
      </c>
      <c r="C9" s="1" t="s">
        <v>46</v>
      </c>
      <c r="D9" s="1">
        <f>72+4</f>
        <v>76</v>
      </c>
      <c r="E9">
        <v>306</v>
      </c>
      <c r="F9">
        <v>5.15</v>
      </c>
      <c r="G9">
        <v>28</v>
      </c>
      <c r="H9">
        <v>19</v>
      </c>
      <c r="I9">
        <v>106</v>
      </c>
      <c r="J9">
        <v>7.87</v>
      </c>
      <c r="K9">
        <v>4.5</v>
      </c>
      <c r="L9" s="1">
        <v>33</v>
      </c>
    </row>
    <row r="10" spans="1:12" x14ac:dyDescent="0.45">
      <c r="A10" s="1" t="s">
        <v>166</v>
      </c>
      <c r="B10" s="1" t="s">
        <v>29</v>
      </c>
      <c r="C10" s="1" t="s">
        <v>37</v>
      </c>
      <c r="D10" s="1">
        <f>72+5</f>
        <v>77</v>
      </c>
      <c r="E10">
        <v>309</v>
      </c>
      <c r="F10">
        <v>5.23</v>
      </c>
      <c r="G10">
        <v>30</v>
      </c>
      <c r="H10">
        <v>17</v>
      </c>
      <c r="I10">
        <v>105</v>
      </c>
      <c r="J10">
        <v>7.89</v>
      </c>
      <c r="K10">
        <v>4.7699999999999996</v>
      </c>
      <c r="L10" s="1">
        <v>153</v>
      </c>
    </row>
    <row r="11" spans="1:12" x14ac:dyDescent="0.45">
      <c r="A11" s="1" t="s">
        <v>167</v>
      </c>
      <c r="B11" s="1" t="s">
        <v>15</v>
      </c>
      <c r="C11" s="1" t="s">
        <v>48</v>
      </c>
      <c r="D11" s="1">
        <f>72+3</f>
        <v>75</v>
      </c>
      <c r="E11">
        <v>306</v>
      </c>
      <c r="G11">
        <v>30.5</v>
      </c>
      <c r="H11">
        <v>21</v>
      </c>
      <c r="I11">
        <v>108</v>
      </c>
      <c r="J11">
        <v>7.29</v>
      </c>
      <c r="K11">
        <v>4.4000000000000004</v>
      </c>
      <c r="L11" s="1">
        <v>39</v>
      </c>
    </row>
    <row r="12" spans="1:12" x14ac:dyDescent="0.45">
      <c r="A12" s="1" t="s">
        <v>168</v>
      </c>
      <c r="B12" s="1" t="s">
        <v>45</v>
      </c>
      <c r="C12" s="1" t="s">
        <v>50</v>
      </c>
      <c r="D12" s="1">
        <f>72+4</f>
        <v>76</v>
      </c>
      <c r="E12">
        <v>319</v>
      </c>
      <c r="F12">
        <v>5.58</v>
      </c>
      <c r="G12">
        <v>23.5</v>
      </c>
      <c r="H12">
        <v>17</v>
      </c>
      <c r="I12">
        <v>98</v>
      </c>
      <c r="J12">
        <v>7.86</v>
      </c>
      <c r="K12">
        <v>4.95</v>
      </c>
      <c r="L12" s="1">
        <v>192</v>
      </c>
    </row>
    <row r="13" spans="1:12" x14ac:dyDescent="0.45">
      <c r="A13" s="1" t="s">
        <v>169</v>
      </c>
      <c r="B13" s="1" t="s">
        <v>29</v>
      </c>
      <c r="C13" s="1" t="s">
        <v>31</v>
      </c>
      <c r="D13" s="1">
        <f>72+5</f>
        <v>77</v>
      </c>
      <c r="E13">
        <v>307</v>
      </c>
      <c r="F13">
        <v>5.46</v>
      </c>
      <c r="G13">
        <v>24</v>
      </c>
      <c r="H13">
        <v>20</v>
      </c>
      <c r="I13">
        <v>94</v>
      </c>
      <c r="J13">
        <v>7.61</v>
      </c>
      <c r="K13">
        <v>4.68</v>
      </c>
      <c r="L13" s="1">
        <v>-1</v>
      </c>
    </row>
    <row r="14" spans="1:12" x14ac:dyDescent="0.45">
      <c r="A14" s="1" t="s">
        <v>170</v>
      </c>
      <c r="B14" s="1" t="s">
        <v>45</v>
      </c>
      <c r="C14" s="1" t="s">
        <v>59</v>
      </c>
      <c r="D14" s="1">
        <f>72+5</f>
        <v>77</v>
      </c>
      <c r="E14">
        <v>311</v>
      </c>
      <c r="F14">
        <v>5.2</v>
      </c>
      <c r="G14">
        <v>25</v>
      </c>
      <c r="H14">
        <v>32</v>
      </c>
      <c r="I14">
        <v>103</v>
      </c>
      <c r="J14">
        <v>7.6</v>
      </c>
      <c r="K14">
        <v>4.83</v>
      </c>
      <c r="L14" s="1">
        <v>213</v>
      </c>
    </row>
    <row r="15" spans="1:12" x14ac:dyDescent="0.45">
      <c r="A15" s="1" t="s">
        <v>171</v>
      </c>
      <c r="B15" s="1" t="s">
        <v>29</v>
      </c>
      <c r="C15" s="1" t="s">
        <v>61</v>
      </c>
      <c r="D15" s="1">
        <f>72+6</f>
        <v>78</v>
      </c>
      <c r="E15">
        <v>292</v>
      </c>
      <c r="F15">
        <v>4.9000000000000004</v>
      </c>
      <c r="L15" s="1">
        <v>-1</v>
      </c>
    </row>
    <row r="16" spans="1:12" x14ac:dyDescent="0.45">
      <c r="A16" s="1" t="s">
        <v>172</v>
      </c>
      <c r="B16" s="1" t="s">
        <v>45</v>
      </c>
      <c r="C16" s="1" t="s">
        <v>34</v>
      </c>
      <c r="D16" s="1">
        <f>72+4</f>
        <v>76</v>
      </c>
      <c r="E16">
        <v>320</v>
      </c>
      <c r="F16">
        <v>5.45</v>
      </c>
      <c r="G16">
        <v>24</v>
      </c>
      <c r="H16">
        <v>18</v>
      </c>
      <c r="I16">
        <v>96</v>
      </c>
      <c r="J16">
        <v>7.84</v>
      </c>
      <c r="K16">
        <v>4.8</v>
      </c>
      <c r="L16" s="1">
        <v>-1</v>
      </c>
    </row>
    <row r="17" spans="1:12" x14ac:dyDescent="0.45">
      <c r="A17" s="1" t="s">
        <v>173</v>
      </c>
      <c r="B17" s="1" t="s">
        <v>45</v>
      </c>
      <c r="C17" s="1" t="s">
        <v>65</v>
      </c>
      <c r="D17" s="1">
        <f>72+2</f>
        <v>74</v>
      </c>
      <c r="E17">
        <v>327</v>
      </c>
      <c r="F17">
        <v>5.15</v>
      </c>
      <c r="G17">
        <v>24</v>
      </c>
      <c r="H17">
        <v>37</v>
      </c>
      <c r="I17">
        <v>104</v>
      </c>
      <c r="J17">
        <v>7.59</v>
      </c>
      <c r="K17">
        <v>4.7</v>
      </c>
      <c r="L17" s="1">
        <v>34</v>
      </c>
    </row>
    <row r="18" spans="1:12" x14ac:dyDescent="0.45">
      <c r="A18" s="1" t="s">
        <v>174</v>
      </c>
      <c r="B18" s="1" t="s">
        <v>29</v>
      </c>
      <c r="C18" s="1" t="s">
        <v>25</v>
      </c>
      <c r="D18" s="1">
        <f>72+4</f>
        <v>76</v>
      </c>
      <c r="E18">
        <v>299</v>
      </c>
      <c r="F18">
        <v>5.5</v>
      </c>
      <c r="G18">
        <v>24</v>
      </c>
      <c r="I18">
        <v>102</v>
      </c>
      <c r="J18">
        <v>8.32</v>
      </c>
      <c r="K18">
        <v>4.99</v>
      </c>
      <c r="L18" s="1">
        <v>168</v>
      </c>
    </row>
    <row r="19" spans="1:12" x14ac:dyDescent="0.45">
      <c r="A19" s="1" t="s">
        <v>175</v>
      </c>
      <c r="B19" s="1" t="s">
        <v>45</v>
      </c>
      <c r="C19" s="1" t="s">
        <v>26</v>
      </c>
      <c r="D19" s="1">
        <f>72+5</f>
        <v>77</v>
      </c>
      <c r="E19">
        <v>305</v>
      </c>
      <c r="F19">
        <v>5.32</v>
      </c>
      <c r="G19">
        <v>27</v>
      </c>
      <c r="H19">
        <v>28</v>
      </c>
      <c r="I19">
        <v>101</v>
      </c>
      <c r="J19">
        <v>7.92</v>
      </c>
      <c r="K19">
        <v>4.8600000000000003</v>
      </c>
      <c r="L19" s="1">
        <v>183</v>
      </c>
    </row>
    <row r="20" spans="1:12" x14ac:dyDescent="0.45">
      <c r="A20" s="1" t="s">
        <v>176</v>
      </c>
      <c r="B20" s="1" t="s">
        <v>29</v>
      </c>
      <c r="C20" s="1" t="s">
        <v>63</v>
      </c>
      <c r="D20" s="1">
        <f>72+6</f>
        <v>78</v>
      </c>
      <c r="E20">
        <v>317</v>
      </c>
      <c r="F20">
        <v>5.22</v>
      </c>
      <c r="G20">
        <v>27</v>
      </c>
      <c r="H20">
        <v>16</v>
      </c>
      <c r="I20">
        <v>109</v>
      </c>
      <c r="J20">
        <v>8.1</v>
      </c>
      <c r="K20">
        <v>4.9400000000000004</v>
      </c>
      <c r="L20" s="1">
        <v>-1</v>
      </c>
    </row>
    <row r="21" spans="1:12" x14ac:dyDescent="0.45">
      <c r="A21" s="1" t="s">
        <v>177</v>
      </c>
      <c r="B21" s="1" t="s">
        <v>29</v>
      </c>
      <c r="C21" s="1" t="s">
        <v>70</v>
      </c>
      <c r="D21" s="1">
        <f>72+7</f>
        <v>79</v>
      </c>
      <c r="E21">
        <v>311</v>
      </c>
      <c r="H21">
        <v>19</v>
      </c>
      <c r="L21" s="1">
        <v>127</v>
      </c>
    </row>
    <row r="22" spans="1:12" x14ac:dyDescent="0.45">
      <c r="A22" s="1" t="s">
        <v>178</v>
      </c>
      <c r="B22" s="1" t="s">
        <v>77</v>
      </c>
      <c r="C22" s="1" t="s">
        <v>55</v>
      </c>
      <c r="D22" s="1">
        <f>72+5</f>
        <v>77</v>
      </c>
      <c r="E22">
        <v>308</v>
      </c>
      <c r="F22">
        <v>5.33</v>
      </c>
      <c r="G22">
        <v>28.5</v>
      </c>
      <c r="H22">
        <v>26</v>
      </c>
      <c r="I22">
        <v>97</v>
      </c>
      <c r="J22">
        <v>7.86</v>
      </c>
      <c r="K22">
        <v>4.88</v>
      </c>
      <c r="L22" s="1">
        <v>138</v>
      </c>
    </row>
    <row r="23" spans="1:12" x14ac:dyDescent="0.45">
      <c r="A23" s="1" t="s">
        <v>78</v>
      </c>
      <c r="B23" s="1" t="s">
        <v>45</v>
      </c>
      <c r="C23" s="1" t="s">
        <v>40</v>
      </c>
      <c r="D23" s="1">
        <f>72+4</f>
        <v>76</v>
      </c>
      <c r="E23">
        <v>303</v>
      </c>
      <c r="F23">
        <v>5.34</v>
      </c>
      <c r="G23">
        <v>29.5</v>
      </c>
      <c r="H23">
        <v>15</v>
      </c>
      <c r="I23">
        <v>103</v>
      </c>
      <c r="L23" s="1">
        <v>-1</v>
      </c>
    </row>
    <row r="24" spans="1:12" x14ac:dyDescent="0.45">
      <c r="A24" s="1" t="s">
        <v>179</v>
      </c>
      <c r="B24" s="1" t="s">
        <v>45</v>
      </c>
      <c r="C24" s="1" t="s">
        <v>24</v>
      </c>
      <c r="D24" s="1">
        <f>72+6</f>
        <v>78</v>
      </c>
      <c r="E24">
        <v>311</v>
      </c>
      <c r="F24">
        <v>5.35</v>
      </c>
      <c r="G24">
        <v>23.5</v>
      </c>
      <c r="H24">
        <v>26</v>
      </c>
      <c r="I24">
        <v>97</v>
      </c>
      <c r="J24">
        <v>7.72</v>
      </c>
      <c r="K24">
        <v>4.82</v>
      </c>
      <c r="L24" s="1">
        <v>-1</v>
      </c>
    </row>
    <row r="25" spans="1:12" x14ac:dyDescent="0.45">
      <c r="A25" s="1" t="s">
        <v>180</v>
      </c>
      <c r="B25" s="1" t="s">
        <v>29</v>
      </c>
      <c r="C25" s="1" t="s">
        <v>11</v>
      </c>
      <c r="D25" s="1">
        <f>72+8</f>
        <v>80</v>
      </c>
      <c r="E25">
        <v>309</v>
      </c>
      <c r="G25">
        <v>28.5</v>
      </c>
      <c r="H25">
        <v>24</v>
      </c>
      <c r="I25">
        <v>105</v>
      </c>
      <c r="L25" s="1">
        <v>9</v>
      </c>
    </row>
    <row r="26" spans="1:12" x14ac:dyDescent="0.45">
      <c r="A26" s="1" t="s">
        <v>181</v>
      </c>
      <c r="B26" s="1" t="s">
        <v>29</v>
      </c>
      <c r="C26" s="1" t="s">
        <v>51</v>
      </c>
      <c r="D26" s="1">
        <f>72+9</f>
        <v>81</v>
      </c>
      <c r="E26">
        <v>309</v>
      </c>
      <c r="F26">
        <v>4.95</v>
      </c>
      <c r="G26">
        <v>31.5</v>
      </c>
      <c r="H26">
        <v>24</v>
      </c>
      <c r="I26">
        <v>121</v>
      </c>
      <c r="J26">
        <v>7.34</v>
      </c>
      <c r="K26">
        <v>4.49</v>
      </c>
      <c r="L26" s="1">
        <v>15</v>
      </c>
    </row>
    <row r="27" spans="1:12" x14ac:dyDescent="0.45">
      <c r="A27" s="1" t="s">
        <v>182</v>
      </c>
      <c r="B27" s="1" t="s">
        <v>45</v>
      </c>
      <c r="C27" s="1" t="s">
        <v>11</v>
      </c>
      <c r="D27" s="1">
        <f>72+5</f>
        <v>77</v>
      </c>
      <c r="E27">
        <v>325</v>
      </c>
      <c r="G27">
        <v>26.5</v>
      </c>
      <c r="H27">
        <v>35</v>
      </c>
      <c r="I27">
        <v>105</v>
      </c>
      <c r="J27">
        <v>7.65</v>
      </c>
      <c r="K27">
        <v>4.62</v>
      </c>
      <c r="L27" s="1">
        <v>6</v>
      </c>
    </row>
    <row r="28" spans="1:12" x14ac:dyDescent="0.45">
      <c r="A28" s="1" t="s">
        <v>183</v>
      </c>
      <c r="B28" s="1" t="s">
        <v>29</v>
      </c>
      <c r="C28" s="1" t="s">
        <v>66</v>
      </c>
      <c r="D28" s="1">
        <f>72+5</f>
        <v>77</v>
      </c>
      <c r="E28">
        <v>309</v>
      </c>
      <c r="F28">
        <v>4.96</v>
      </c>
      <c r="G28">
        <v>24</v>
      </c>
      <c r="H28">
        <v>27</v>
      </c>
      <c r="I28">
        <v>102</v>
      </c>
      <c r="J28">
        <v>7.65</v>
      </c>
      <c r="K28">
        <v>4.4400000000000004</v>
      </c>
      <c r="L28" s="1">
        <v>89</v>
      </c>
    </row>
    <row r="29" spans="1:12" x14ac:dyDescent="0.45">
      <c r="A29" s="1" t="s">
        <v>184</v>
      </c>
      <c r="B29" s="1" t="s">
        <v>29</v>
      </c>
      <c r="C29" s="1" t="s">
        <v>63</v>
      </c>
      <c r="D29" s="1">
        <f>72+7</f>
        <v>79</v>
      </c>
      <c r="E29">
        <v>297</v>
      </c>
      <c r="F29">
        <v>4.82</v>
      </c>
      <c r="G29">
        <v>29.5</v>
      </c>
      <c r="H29">
        <v>22</v>
      </c>
      <c r="I29">
        <v>107</v>
      </c>
      <c r="J29">
        <v>7.14</v>
      </c>
      <c r="K29">
        <v>4.5</v>
      </c>
      <c r="L29" s="1">
        <v>62</v>
      </c>
    </row>
    <row r="30" spans="1:12" x14ac:dyDescent="0.45">
      <c r="A30" s="1" t="s">
        <v>185</v>
      </c>
      <c r="B30" s="1" t="s">
        <v>29</v>
      </c>
      <c r="C30" s="1" t="s">
        <v>58</v>
      </c>
      <c r="D30" s="1">
        <f>72+6</f>
        <v>78</v>
      </c>
      <c r="E30">
        <v>320</v>
      </c>
      <c r="F30">
        <v>5.31</v>
      </c>
      <c r="G30">
        <v>23.5</v>
      </c>
      <c r="H30">
        <v>19</v>
      </c>
      <c r="I30">
        <v>102</v>
      </c>
      <c r="J30">
        <v>7.87</v>
      </c>
      <c r="K30">
        <v>4.8</v>
      </c>
      <c r="L30" s="1">
        <v>92</v>
      </c>
    </row>
    <row r="31" spans="1:12" x14ac:dyDescent="0.45">
      <c r="A31" s="1" t="s">
        <v>186</v>
      </c>
      <c r="B31" s="1" t="s">
        <v>29</v>
      </c>
      <c r="C31" s="1" t="s">
        <v>81</v>
      </c>
      <c r="D31" s="1">
        <f>72+8</f>
        <v>80</v>
      </c>
      <c r="E31">
        <v>305</v>
      </c>
      <c r="F31">
        <v>5.4</v>
      </c>
      <c r="G31">
        <v>28.5</v>
      </c>
      <c r="I31">
        <v>113</v>
      </c>
      <c r="J31">
        <v>7.82</v>
      </c>
      <c r="K31">
        <v>4.68</v>
      </c>
      <c r="L31" s="1">
        <v>65</v>
      </c>
    </row>
    <row r="32" spans="1:12" x14ac:dyDescent="0.45">
      <c r="A32" s="1" t="s">
        <v>187</v>
      </c>
      <c r="B32" s="1" t="s">
        <v>29</v>
      </c>
      <c r="C32" s="1" t="s">
        <v>82</v>
      </c>
      <c r="D32" s="1">
        <f>72+6</f>
        <v>78</v>
      </c>
      <c r="E32">
        <v>312</v>
      </c>
      <c r="H32">
        <v>27</v>
      </c>
      <c r="L32" s="1">
        <v>-1</v>
      </c>
    </row>
    <row r="33" spans="1:12" x14ac:dyDescent="0.45">
      <c r="A33" s="1" t="s">
        <v>83</v>
      </c>
      <c r="B33" s="1" t="s">
        <v>45</v>
      </c>
      <c r="C33" s="1" t="s">
        <v>84</v>
      </c>
      <c r="D33" s="1">
        <f>72+3</f>
        <v>75</v>
      </c>
      <c r="E33">
        <v>318</v>
      </c>
      <c r="F33">
        <v>5.0999999999999996</v>
      </c>
      <c r="G33">
        <v>29</v>
      </c>
      <c r="I33">
        <v>104</v>
      </c>
      <c r="J33">
        <v>7.95</v>
      </c>
      <c r="K33">
        <v>4.6900000000000004</v>
      </c>
      <c r="L33" s="1">
        <v>-1</v>
      </c>
    </row>
    <row r="34" spans="1:12" x14ac:dyDescent="0.45">
      <c r="A34" s="1" t="s">
        <v>188</v>
      </c>
      <c r="B34" s="1" t="s">
        <v>15</v>
      </c>
      <c r="C34" s="1" t="s">
        <v>25</v>
      </c>
      <c r="D34" s="1">
        <f>72+4</f>
        <v>76</v>
      </c>
      <c r="E34">
        <v>305</v>
      </c>
      <c r="L34" s="1">
        <v>21</v>
      </c>
    </row>
    <row r="35" spans="1:12" x14ac:dyDescent="0.45">
      <c r="A35" s="1" t="s">
        <v>189</v>
      </c>
      <c r="B35" s="1" t="s">
        <v>15</v>
      </c>
      <c r="C35" s="1" t="s">
        <v>51</v>
      </c>
      <c r="D35" s="1">
        <f>72+4</f>
        <v>76</v>
      </c>
      <c r="E35">
        <v>310</v>
      </c>
      <c r="F35">
        <v>5.09</v>
      </c>
      <c r="G35">
        <v>33.5</v>
      </c>
      <c r="H35">
        <v>25</v>
      </c>
      <c r="I35">
        <v>111</v>
      </c>
      <c r="J35">
        <v>7.5</v>
      </c>
      <c r="K35">
        <v>4.6900000000000004</v>
      </c>
      <c r="L35" s="1">
        <v>155</v>
      </c>
    </row>
    <row r="36" spans="1:12" x14ac:dyDescent="0.45">
      <c r="A36" s="1" t="s">
        <v>190</v>
      </c>
      <c r="B36" s="1" t="s">
        <v>15</v>
      </c>
      <c r="C36" s="1" t="s">
        <v>14</v>
      </c>
      <c r="D36" s="1">
        <f>72+5</f>
        <v>77</v>
      </c>
      <c r="E36">
        <v>312</v>
      </c>
      <c r="H36">
        <v>26</v>
      </c>
      <c r="L36" s="1">
        <v>20</v>
      </c>
    </row>
    <row r="37" spans="1:12" x14ac:dyDescent="0.45">
      <c r="A37" s="1" t="s">
        <v>191</v>
      </c>
      <c r="B37" s="1" t="s">
        <v>77</v>
      </c>
      <c r="C37" s="1" t="s">
        <v>86</v>
      </c>
      <c r="D37" s="1">
        <f>72+4</f>
        <v>76</v>
      </c>
      <c r="E37">
        <v>308</v>
      </c>
      <c r="H37">
        <v>24</v>
      </c>
      <c r="L37" s="1">
        <v>80</v>
      </c>
    </row>
    <row r="38" spans="1:12" x14ac:dyDescent="0.45">
      <c r="A38" s="1" t="s">
        <v>192</v>
      </c>
      <c r="B38" s="1" t="s">
        <v>29</v>
      </c>
      <c r="C38" s="1" t="s">
        <v>41</v>
      </c>
      <c r="D38" s="1">
        <f>72+6</f>
        <v>78</v>
      </c>
      <c r="E38">
        <v>306</v>
      </c>
      <c r="F38">
        <v>5.26</v>
      </c>
      <c r="G38">
        <v>31.5</v>
      </c>
      <c r="I38">
        <v>108</v>
      </c>
      <c r="J38">
        <v>7.8</v>
      </c>
      <c r="K38">
        <v>4.83</v>
      </c>
      <c r="L38" s="1">
        <v>129</v>
      </c>
    </row>
    <row r="39" spans="1:12" x14ac:dyDescent="0.45">
      <c r="A39" s="1" t="s">
        <v>193</v>
      </c>
      <c r="B39" s="1" t="s">
        <v>29</v>
      </c>
      <c r="C39" s="1" t="s">
        <v>87</v>
      </c>
      <c r="D39" s="1">
        <f>72+6</f>
        <v>78</v>
      </c>
      <c r="E39">
        <v>302</v>
      </c>
      <c r="F39">
        <v>5.38</v>
      </c>
      <c r="G39">
        <v>26</v>
      </c>
      <c r="H39">
        <v>19</v>
      </c>
      <c r="I39">
        <v>106</v>
      </c>
      <c r="J39">
        <v>7.41</v>
      </c>
      <c r="K39">
        <v>4.71</v>
      </c>
      <c r="L39" s="1">
        <v>212</v>
      </c>
    </row>
    <row r="40" spans="1:12" x14ac:dyDescent="0.45">
      <c r="A40" s="1" t="s">
        <v>194</v>
      </c>
      <c r="B40" s="1" t="s">
        <v>15</v>
      </c>
      <c r="C40" s="1" t="s">
        <v>10</v>
      </c>
      <c r="D40" s="1">
        <f>72+3</f>
        <v>75</v>
      </c>
      <c r="E40">
        <v>292</v>
      </c>
      <c r="F40">
        <v>5.24</v>
      </c>
      <c r="G40">
        <v>26.5</v>
      </c>
      <c r="I40">
        <v>110</v>
      </c>
      <c r="J40">
        <v>7.62</v>
      </c>
      <c r="K40">
        <v>4.59</v>
      </c>
      <c r="L40" s="1">
        <v>-1</v>
      </c>
    </row>
    <row r="41" spans="1:12" x14ac:dyDescent="0.45">
      <c r="A41" s="1" t="s">
        <v>195</v>
      </c>
      <c r="B41" s="1" t="s">
        <v>45</v>
      </c>
      <c r="C41" s="1" t="s">
        <v>38</v>
      </c>
      <c r="D41" s="1">
        <f>72+6</f>
        <v>78</v>
      </c>
      <c r="E41">
        <v>315</v>
      </c>
      <c r="F41">
        <v>5.22</v>
      </c>
      <c r="G41">
        <v>33.5</v>
      </c>
      <c r="H41">
        <v>35</v>
      </c>
      <c r="I41">
        <v>113</v>
      </c>
      <c r="K41">
        <v>4.7699999999999996</v>
      </c>
      <c r="L41" s="1">
        <v>37</v>
      </c>
    </row>
    <row r="42" spans="1:12" x14ac:dyDescent="0.45">
      <c r="A42" s="1" t="s">
        <v>196</v>
      </c>
      <c r="B42" s="1" t="s">
        <v>29</v>
      </c>
      <c r="C42" s="1" t="s">
        <v>62</v>
      </c>
      <c r="D42" s="1">
        <f>72+3</f>
        <v>75</v>
      </c>
      <c r="E42">
        <v>320</v>
      </c>
      <c r="F42">
        <v>5.24</v>
      </c>
      <c r="G42">
        <v>30.5</v>
      </c>
      <c r="I42">
        <v>99</v>
      </c>
      <c r="L42" s="1">
        <v>252</v>
      </c>
    </row>
    <row r="43" spans="1:12" x14ac:dyDescent="0.45">
      <c r="A43" s="1" t="s">
        <v>197</v>
      </c>
      <c r="B43" s="1" t="s">
        <v>45</v>
      </c>
      <c r="C43" s="1" t="s">
        <v>53</v>
      </c>
      <c r="D43" s="1">
        <f>72+4</f>
        <v>76</v>
      </c>
      <c r="E43">
        <v>314</v>
      </c>
      <c r="F43">
        <v>5.24</v>
      </c>
      <c r="G43">
        <v>29</v>
      </c>
      <c r="H43">
        <v>30</v>
      </c>
      <c r="I43">
        <v>114</v>
      </c>
      <c r="J43">
        <v>7.45</v>
      </c>
      <c r="K43">
        <v>4.84</v>
      </c>
      <c r="L43" s="1">
        <v>166</v>
      </c>
    </row>
    <row r="44" spans="1:12" x14ac:dyDescent="0.45">
      <c r="A44" s="1" t="s">
        <v>198</v>
      </c>
      <c r="B44" s="1" t="s">
        <v>29</v>
      </c>
      <c r="C44" s="1" t="s">
        <v>89</v>
      </c>
      <c r="D44" s="1">
        <f>72+6</f>
        <v>78</v>
      </c>
      <c r="E44">
        <v>291</v>
      </c>
      <c r="L44" s="1">
        <v>-1</v>
      </c>
    </row>
    <row r="45" spans="1:12" x14ac:dyDescent="0.45">
      <c r="A45" s="1" t="s">
        <v>199</v>
      </c>
      <c r="B45" s="1" t="s">
        <v>45</v>
      </c>
      <c r="C45" s="1" t="s">
        <v>57</v>
      </c>
      <c r="D45" s="1">
        <f>72+5</f>
        <v>77</v>
      </c>
      <c r="E45">
        <v>310</v>
      </c>
      <c r="F45">
        <v>5.4</v>
      </c>
      <c r="G45">
        <v>28</v>
      </c>
      <c r="I45">
        <v>109</v>
      </c>
      <c r="J45">
        <v>7.7</v>
      </c>
      <c r="K45">
        <v>4.9000000000000004</v>
      </c>
      <c r="L45" s="1">
        <v>-1</v>
      </c>
    </row>
    <row r="46" spans="1:12" x14ac:dyDescent="0.45">
      <c r="A46" s="1" t="s">
        <v>200</v>
      </c>
      <c r="B46" s="1" t="s">
        <v>29</v>
      </c>
      <c r="C46" s="1" t="s">
        <v>40</v>
      </c>
      <c r="D46" s="1">
        <f>72+4</f>
        <v>76</v>
      </c>
      <c r="E46">
        <v>317</v>
      </c>
      <c r="F46">
        <v>5.34</v>
      </c>
      <c r="G46">
        <v>24.5</v>
      </c>
      <c r="H46">
        <v>28</v>
      </c>
      <c r="I46">
        <v>106</v>
      </c>
      <c r="J46">
        <v>8.5500000000000007</v>
      </c>
      <c r="K46">
        <v>5.38</v>
      </c>
      <c r="L46" s="1">
        <v>-1</v>
      </c>
    </row>
    <row r="47" spans="1:12" x14ac:dyDescent="0.45">
      <c r="A47" s="1" t="s">
        <v>201</v>
      </c>
      <c r="B47" s="1" t="s">
        <v>15</v>
      </c>
      <c r="C47" s="1" t="s">
        <v>48</v>
      </c>
      <c r="D47" s="1">
        <f>72+3</f>
        <v>75</v>
      </c>
      <c r="E47">
        <v>306</v>
      </c>
      <c r="F47">
        <v>5.43</v>
      </c>
      <c r="G47">
        <v>25</v>
      </c>
      <c r="H47">
        <v>20</v>
      </c>
      <c r="I47">
        <v>103</v>
      </c>
      <c r="J47">
        <v>7.9</v>
      </c>
      <c r="K47">
        <v>4.8099999999999996</v>
      </c>
      <c r="L47" s="1">
        <v>-1</v>
      </c>
    </row>
    <row r="48" spans="1:12" x14ac:dyDescent="0.45">
      <c r="A48" s="1" t="s">
        <v>202</v>
      </c>
      <c r="B48" s="1" t="s">
        <v>29</v>
      </c>
      <c r="C48" s="1" t="s">
        <v>52</v>
      </c>
      <c r="D48" s="1">
        <f>72+5</f>
        <v>77</v>
      </c>
      <c r="E48">
        <v>296</v>
      </c>
      <c r="F48">
        <v>5.05</v>
      </c>
      <c r="G48">
        <v>34</v>
      </c>
      <c r="H48">
        <v>26</v>
      </c>
      <c r="I48">
        <v>112</v>
      </c>
      <c r="J48">
        <v>7.83</v>
      </c>
      <c r="K48">
        <v>4.63</v>
      </c>
      <c r="L48" s="1">
        <v>50</v>
      </c>
    </row>
    <row r="49" spans="1:12" x14ac:dyDescent="0.45">
      <c r="A49" s="1" t="s">
        <v>203</v>
      </c>
      <c r="B49" s="1" t="s">
        <v>45</v>
      </c>
      <c r="C49" s="1" t="s">
        <v>21</v>
      </c>
      <c r="D49" s="1">
        <f>72+3</f>
        <v>75</v>
      </c>
      <c r="E49">
        <v>313</v>
      </c>
      <c r="L49" s="1">
        <v>23</v>
      </c>
    </row>
    <row r="50" spans="1:12" x14ac:dyDescent="0.45">
      <c r="A50" s="1" t="s">
        <v>204</v>
      </c>
      <c r="B50" s="1" t="s">
        <v>29</v>
      </c>
      <c r="C50" s="1" t="s">
        <v>79</v>
      </c>
      <c r="D50" s="1">
        <f>72+6</f>
        <v>78</v>
      </c>
      <c r="E50">
        <v>317</v>
      </c>
      <c r="F50">
        <v>5.18</v>
      </c>
      <c r="G50">
        <v>27</v>
      </c>
      <c r="H50">
        <v>16</v>
      </c>
      <c r="I50">
        <v>103</v>
      </c>
      <c r="J50">
        <v>7.68</v>
      </c>
      <c r="K50">
        <v>4.74</v>
      </c>
      <c r="L50" s="1">
        <v>-1</v>
      </c>
    </row>
    <row r="51" spans="1:12" x14ac:dyDescent="0.45">
      <c r="A51" s="1" t="s">
        <v>205</v>
      </c>
      <c r="B51" s="1" t="s">
        <v>77</v>
      </c>
      <c r="C51" s="1" t="s">
        <v>67</v>
      </c>
      <c r="D51" s="1">
        <f>72+5</f>
        <v>77</v>
      </c>
      <c r="E51">
        <v>299</v>
      </c>
      <c r="G51">
        <v>28</v>
      </c>
      <c r="H51">
        <v>24</v>
      </c>
      <c r="I51">
        <v>103</v>
      </c>
      <c r="L51" s="1">
        <v>-1</v>
      </c>
    </row>
    <row r="52" spans="1:12" x14ac:dyDescent="0.45">
      <c r="A52" s="1" t="s">
        <v>206</v>
      </c>
      <c r="B52" s="1" t="s">
        <v>77</v>
      </c>
      <c r="C52" s="1" t="s">
        <v>11</v>
      </c>
      <c r="D52" s="1">
        <f>72+6</f>
        <v>78</v>
      </c>
      <c r="E52">
        <v>312</v>
      </c>
      <c r="L52" s="1">
        <v>-1</v>
      </c>
    </row>
    <row r="53" spans="1:12" x14ac:dyDescent="0.45">
      <c r="A53" s="1" t="s">
        <v>207</v>
      </c>
      <c r="B53" s="1" t="s">
        <v>29</v>
      </c>
      <c r="C53" s="1" t="s">
        <v>57</v>
      </c>
      <c r="D53" s="1">
        <f>72+7</f>
        <v>79</v>
      </c>
      <c r="E53">
        <v>310</v>
      </c>
      <c r="F53">
        <v>5.18</v>
      </c>
      <c r="G53">
        <v>27</v>
      </c>
      <c r="H53">
        <v>25</v>
      </c>
      <c r="I53">
        <v>109</v>
      </c>
      <c r="J53">
        <v>7.85</v>
      </c>
      <c r="K53">
        <v>4.66</v>
      </c>
      <c r="L53" s="1">
        <v>240</v>
      </c>
    </row>
    <row r="54" spans="1:12" x14ac:dyDescent="0.45">
      <c r="A54" s="1" t="s">
        <v>208</v>
      </c>
      <c r="B54" s="1" t="s">
        <v>77</v>
      </c>
      <c r="C54" s="1" t="s">
        <v>17</v>
      </c>
      <c r="D54" s="1">
        <f>72+4</f>
        <v>76</v>
      </c>
      <c r="E54">
        <v>306</v>
      </c>
      <c r="F54">
        <v>5.09</v>
      </c>
      <c r="G54">
        <v>27</v>
      </c>
      <c r="H54">
        <v>28</v>
      </c>
      <c r="I54">
        <v>102</v>
      </c>
      <c r="J54">
        <v>7.45</v>
      </c>
      <c r="K54">
        <v>4.53</v>
      </c>
      <c r="L54" s="1">
        <v>-1</v>
      </c>
    </row>
    <row r="55" spans="1:12" x14ac:dyDescent="0.45">
      <c r="A55" s="1" t="s">
        <v>209</v>
      </c>
      <c r="B55" s="1" t="s">
        <v>77</v>
      </c>
      <c r="C55" s="1" t="s">
        <v>42</v>
      </c>
      <c r="D55" s="1">
        <f>72+6</f>
        <v>78</v>
      </c>
      <c r="E55">
        <v>309</v>
      </c>
      <c r="F55">
        <v>5.24</v>
      </c>
      <c r="H55">
        <v>20</v>
      </c>
      <c r="L55" s="1">
        <v>-1</v>
      </c>
    </row>
    <row r="56" spans="1:12" x14ac:dyDescent="0.45">
      <c r="A56" s="1" t="s">
        <v>210</v>
      </c>
      <c r="B56" s="1" t="s">
        <v>77</v>
      </c>
      <c r="C56" s="1" t="s">
        <v>41</v>
      </c>
      <c r="D56" s="1">
        <f>72+3</f>
        <v>75</v>
      </c>
      <c r="E56">
        <v>306</v>
      </c>
      <c r="F56">
        <v>4.92</v>
      </c>
      <c r="G56">
        <v>31</v>
      </c>
      <c r="H56">
        <v>34</v>
      </c>
      <c r="I56">
        <v>104</v>
      </c>
      <c r="J56">
        <v>7.41</v>
      </c>
      <c r="K56">
        <v>4.53</v>
      </c>
      <c r="L56" s="1">
        <v>18</v>
      </c>
    </row>
    <row r="57" spans="1:12" x14ac:dyDescent="0.45">
      <c r="A57" s="1" t="s">
        <v>211</v>
      </c>
      <c r="B57" s="1" t="s">
        <v>29</v>
      </c>
      <c r="C57" s="1" t="s">
        <v>47</v>
      </c>
      <c r="D57" s="1">
        <f>72+5</f>
        <v>77</v>
      </c>
      <c r="E57">
        <v>312</v>
      </c>
      <c r="H57">
        <v>32</v>
      </c>
      <c r="L57" s="1">
        <v>101</v>
      </c>
    </row>
    <row r="58" spans="1:12" x14ac:dyDescent="0.45">
      <c r="A58" s="1" t="s">
        <v>212</v>
      </c>
      <c r="B58" s="1" t="s">
        <v>77</v>
      </c>
      <c r="C58" s="1" t="s">
        <v>86</v>
      </c>
      <c r="D58" s="1">
        <f>72+2</f>
        <v>74</v>
      </c>
      <c r="E58">
        <v>310</v>
      </c>
      <c r="F58">
        <v>5.07</v>
      </c>
      <c r="G58">
        <v>28.5</v>
      </c>
      <c r="H58">
        <v>26</v>
      </c>
      <c r="I58">
        <v>105</v>
      </c>
      <c r="J58">
        <v>7.46</v>
      </c>
      <c r="K58">
        <v>4.62</v>
      </c>
      <c r="L58" s="1">
        <v>-1</v>
      </c>
    </row>
    <row r="59" spans="1:12" x14ac:dyDescent="0.45">
      <c r="A59" s="1" t="s">
        <v>213</v>
      </c>
      <c r="B59" s="1" t="s">
        <v>29</v>
      </c>
      <c r="C59" s="1" t="s">
        <v>67</v>
      </c>
      <c r="D59" s="1">
        <f>72+5</f>
        <v>77</v>
      </c>
      <c r="E59">
        <v>317</v>
      </c>
      <c r="F59">
        <v>5.23</v>
      </c>
      <c r="G59">
        <v>26.5</v>
      </c>
      <c r="H59">
        <v>20</v>
      </c>
      <c r="I59">
        <v>103</v>
      </c>
      <c r="J59">
        <v>7.95</v>
      </c>
      <c r="K59">
        <v>4.92</v>
      </c>
      <c r="L59" s="1">
        <v>212</v>
      </c>
    </row>
    <row r="60" spans="1:12" x14ac:dyDescent="0.45">
      <c r="A60" s="1" t="s">
        <v>214</v>
      </c>
      <c r="B60" s="1" t="s">
        <v>77</v>
      </c>
      <c r="C60" s="1" t="s">
        <v>98</v>
      </c>
      <c r="D60" s="1">
        <f>72+3</f>
        <v>75</v>
      </c>
      <c r="E60">
        <v>316</v>
      </c>
      <c r="F60">
        <v>5.23</v>
      </c>
      <c r="G60">
        <v>26</v>
      </c>
      <c r="H60">
        <v>23</v>
      </c>
      <c r="I60">
        <v>107</v>
      </c>
      <c r="J60">
        <v>7.94</v>
      </c>
      <c r="K60">
        <v>4.83</v>
      </c>
      <c r="L60" s="1">
        <v>82</v>
      </c>
    </row>
    <row r="61" spans="1:12" x14ac:dyDescent="0.45">
      <c r="A61" s="1" t="s">
        <v>215</v>
      </c>
      <c r="B61" s="1" t="s">
        <v>77</v>
      </c>
      <c r="C61" s="1" t="s">
        <v>42</v>
      </c>
      <c r="D61" s="1">
        <f>72+5</f>
        <v>77</v>
      </c>
      <c r="E61">
        <v>309</v>
      </c>
      <c r="F61">
        <v>5.23</v>
      </c>
      <c r="G61">
        <v>28</v>
      </c>
      <c r="H61">
        <v>21</v>
      </c>
      <c r="I61">
        <v>105</v>
      </c>
      <c r="J61">
        <v>7.88</v>
      </c>
      <c r="K61">
        <v>4.8099999999999996</v>
      </c>
      <c r="L61" s="1">
        <v>78</v>
      </c>
    </row>
    <row r="62" spans="1:12" x14ac:dyDescent="0.45">
      <c r="A62" s="1" t="s">
        <v>216</v>
      </c>
      <c r="B62" s="1" t="s">
        <v>29</v>
      </c>
      <c r="C62" s="1" t="s">
        <v>55</v>
      </c>
      <c r="D62" s="1">
        <f>72+5</f>
        <v>77</v>
      </c>
      <c r="E62">
        <v>315</v>
      </c>
      <c r="F62">
        <v>4.96</v>
      </c>
      <c r="G62">
        <v>29</v>
      </c>
      <c r="H62">
        <v>24</v>
      </c>
      <c r="I62">
        <v>118</v>
      </c>
      <c r="J62">
        <v>7.44</v>
      </c>
      <c r="K62">
        <v>4.4000000000000004</v>
      </c>
      <c r="L62" s="1">
        <v>22</v>
      </c>
    </row>
    <row r="63" spans="1:12" x14ac:dyDescent="0.45">
      <c r="A63" s="1" t="s">
        <v>217</v>
      </c>
      <c r="B63" s="1" t="s">
        <v>29</v>
      </c>
      <c r="C63" s="1" t="s">
        <v>33</v>
      </c>
      <c r="D63" s="1">
        <f>72+3</f>
        <v>75</v>
      </c>
      <c r="E63">
        <v>308</v>
      </c>
      <c r="F63">
        <v>5.19</v>
      </c>
      <c r="H63">
        <v>21</v>
      </c>
      <c r="L63" s="1">
        <v>92</v>
      </c>
    </row>
    <row r="64" spans="1:12" x14ac:dyDescent="0.45">
      <c r="A64" s="1" t="s">
        <v>218</v>
      </c>
      <c r="B64" s="1" t="s">
        <v>29</v>
      </c>
      <c r="C64" s="1" t="s">
        <v>42</v>
      </c>
      <c r="D64" s="1">
        <f>72+6</f>
        <v>78</v>
      </c>
      <c r="E64">
        <v>308</v>
      </c>
      <c r="F64">
        <v>5.28</v>
      </c>
      <c r="G64">
        <v>25.5</v>
      </c>
      <c r="I64">
        <v>99</v>
      </c>
      <c r="J64">
        <v>7.69</v>
      </c>
      <c r="K64">
        <v>4.7699999999999996</v>
      </c>
      <c r="L64" s="1">
        <v>169</v>
      </c>
    </row>
    <row r="65" spans="1:12" x14ac:dyDescent="0.45">
      <c r="A65" s="1" t="s">
        <v>219</v>
      </c>
      <c r="B65" s="1" t="s">
        <v>29</v>
      </c>
      <c r="C65" s="1" t="s">
        <v>18</v>
      </c>
      <c r="D65" s="1">
        <f>72+4</f>
        <v>76</v>
      </c>
      <c r="E65">
        <v>312</v>
      </c>
      <c r="F65">
        <v>5.2</v>
      </c>
      <c r="H65">
        <v>22</v>
      </c>
      <c r="L65" s="1">
        <v>97</v>
      </c>
    </row>
    <row r="66" spans="1:12" x14ac:dyDescent="0.45">
      <c r="A66" s="1" t="s">
        <v>220</v>
      </c>
      <c r="B66" s="1" t="s">
        <v>29</v>
      </c>
      <c r="C66" s="1" t="s">
        <v>18</v>
      </c>
      <c r="D66" s="1">
        <f>72+4</f>
        <v>76</v>
      </c>
      <c r="E66">
        <v>329</v>
      </c>
      <c r="F66">
        <v>5.21</v>
      </c>
      <c r="G66">
        <v>28.5</v>
      </c>
      <c r="H66">
        <v>19</v>
      </c>
      <c r="I66">
        <v>104</v>
      </c>
      <c r="J66">
        <v>8.27</v>
      </c>
      <c r="K66">
        <v>4.87</v>
      </c>
      <c r="L66" s="1">
        <v>38</v>
      </c>
    </row>
    <row r="67" spans="1:12" x14ac:dyDescent="0.45">
      <c r="A67" s="1" t="s">
        <v>221</v>
      </c>
      <c r="B67" s="1" t="s">
        <v>77</v>
      </c>
      <c r="C67" s="1" t="s">
        <v>14</v>
      </c>
      <c r="D67" s="1">
        <f>72+5</f>
        <v>77</v>
      </c>
      <c r="E67">
        <v>306</v>
      </c>
      <c r="F67">
        <v>5.2</v>
      </c>
      <c r="G67">
        <v>27.5</v>
      </c>
      <c r="H67">
        <v>31</v>
      </c>
      <c r="I67">
        <v>105</v>
      </c>
      <c r="J67">
        <v>7.51</v>
      </c>
      <c r="K67">
        <v>4.54</v>
      </c>
      <c r="L67" s="1">
        <v>118</v>
      </c>
    </row>
    <row r="68" spans="1:12" x14ac:dyDescent="0.45">
      <c r="A68" s="1" t="s">
        <v>222</v>
      </c>
      <c r="B68" s="1" t="s">
        <v>77</v>
      </c>
      <c r="C68" s="1" t="s">
        <v>21</v>
      </c>
      <c r="D68" s="1">
        <f>72+3</f>
        <v>75</v>
      </c>
      <c r="E68">
        <v>305</v>
      </c>
      <c r="L68" s="1">
        <v>179</v>
      </c>
    </row>
    <row r="69" spans="1:12" x14ac:dyDescent="0.45">
      <c r="A69" s="1" t="s">
        <v>223</v>
      </c>
      <c r="B69" s="1" t="s">
        <v>29</v>
      </c>
      <c r="C69" s="1" t="s">
        <v>71</v>
      </c>
      <c r="D69" s="1">
        <f>72+4</f>
        <v>76</v>
      </c>
      <c r="E69">
        <v>320</v>
      </c>
      <c r="F69">
        <v>5.26</v>
      </c>
      <c r="H69">
        <v>26</v>
      </c>
      <c r="I69">
        <v>90</v>
      </c>
      <c r="L69" s="1">
        <v>219</v>
      </c>
    </row>
    <row r="70" spans="1:12" x14ac:dyDescent="0.45">
      <c r="A70" s="1" t="s">
        <v>224</v>
      </c>
      <c r="B70" s="1" t="s">
        <v>29</v>
      </c>
      <c r="C70" s="1" t="s">
        <v>97</v>
      </c>
      <c r="D70" s="1">
        <f>72+5</f>
        <v>77</v>
      </c>
      <c r="E70">
        <v>335</v>
      </c>
      <c r="L70" s="1">
        <v>-1</v>
      </c>
    </row>
    <row r="71" spans="1:12" x14ac:dyDescent="0.45">
      <c r="A71" s="1" t="s">
        <v>225</v>
      </c>
      <c r="B71" s="1" t="s">
        <v>77</v>
      </c>
      <c r="C71" s="1" t="s">
        <v>100</v>
      </c>
      <c r="D71" s="1">
        <f>72+4</f>
        <v>76</v>
      </c>
      <c r="E71">
        <v>327</v>
      </c>
      <c r="L71" s="1">
        <v>-1</v>
      </c>
    </row>
    <row r="72" spans="1:12" x14ac:dyDescent="0.45">
      <c r="A72" s="1" t="s">
        <v>226</v>
      </c>
      <c r="B72" s="1" t="s">
        <v>77</v>
      </c>
      <c r="C72" s="1" t="s">
        <v>27</v>
      </c>
      <c r="D72" s="1">
        <f>72+4</f>
        <v>76</v>
      </c>
      <c r="E72">
        <v>322</v>
      </c>
      <c r="F72">
        <v>5.2</v>
      </c>
      <c r="G72">
        <v>31</v>
      </c>
      <c r="H72">
        <v>33</v>
      </c>
      <c r="I72">
        <v>108</v>
      </c>
      <c r="J72">
        <v>7.76</v>
      </c>
      <c r="K72">
        <v>4.95</v>
      </c>
      <c r="L72" s="1">
        <v>124</v>
      </c>
    </row>
    <row r="73" spans="1:12" x14ac:dyDescent="0.45">
      <c r="A73" s="1" t="s">
        <v>227</v>
      </c>
      <c r="B73" s="1" t="s">
        <v>77</v>
      </c>
      <c r="C73" s="1" t="s">
        <v>30</v>
      </c>
      <c r="D73" s="1">
        <f>72+3</f>
        <v>75</v>
      </c>
      <c r="E73">
        <v>335</v>
      </c>
      <c r="F73">
        <v>5.41</v>
      </c>
      <c r="G73">
        <v>24</v>
      </c>
      <c r="H73">
        <v>29</v>
      </c>
      <c r="I73">
        <v>90</v>
      </c>
      <c r="J73">
        <v>8.15</v>
      </c>
      <c r="K73">
        <v>5.04</v>
      </c>
      <c r="L73" s="1">
        <v>-1</v>
      </c>
    </row>
    <row r="74" spans="1:12" x14ac:dyDescent="0.45">
      <c r="A74" s="1" t="s">
        <v>228</v>
      </c>
      <c r="B74" s="1" t="s">
        <v>29</v>
      </c>
      <c r="C74" s="1" t="s">
        <v>101</v>
      </c>
      <c r="D74" s="1">
        <f>72+5</f>
        <v>77</v>
      </c>
      <c r="E74">
        <v>322</v>
      </c>
      <c r="F74">
        <v>5.05</v>
      </c>
      <c r="G74">
        <v>29.5</v>
      </c>
      <c r="H74">
        <v>21</v>
      </c>
      <c r="I74">
        <v>103</v>
      </c>
      <c r="J74">
        <v>8.34</v>
      </c>
      <c r="K74">
        <v>4.87</v>
      </c>
      <c r="L74" s="1">
        <v>23</v>
      </c>
    </row>
    <row r="75" spans="1:12" x14ac:dyDescent="0.45">
      <c r="A75" s="1" t="s">
        <v>229</v>
      </c>
      <c r="B75" s="1" t="s">
        <v>29</v>
      </c>
      <c r="C75" s="1" t="s">
        <v>34</v>
      </c>
      <c r="D75" s="1">
        <f>72+5</f>
        <v>77</v>
      </c>
      <c r="E75">
        <v>303</v>
      </c>
      <c r="G75">
        <v>25.5</v>
      </c>
      <c r="H75">
        <v>28</v>
      </c>
      <c r="I75">
        <v>102</v>
      </c>
      <c r="J75">
        <v>7.72</v>
      </c>
      <c r="K75">
        <v>4.5199999999999996</v>
      </c>
      <c r="L75" s="1">
        <v>-1</v>
      </c>
    </row>
    <row r="76" spans="1:12" x14ac:dyDescent="0.45">
      <c r="A76" s="1" t="s">
        <v>230</v>
      </c>
      <c r="B76" s="1" t="s">
        <v>77</v>
      </c>
      <c r="C76" s="1" t="s">
        <v>32</v>
      </c>
      <c r="D76" s="1">
        <f>72+5</f>
        <v>77</v>
      </c>
      <c r="E76">
        <v>315</v>
      </c>
      <c r="L76" s="1">
        <v>-1</v>
      </c>
    </row>
    <row r="77" spans="1:12" x14ac:dyDescent="0.45">
      <c r="A77" s="1" t="s">
        <v>231</v>
      </c>
      <c r="B77" s="1" t="s">
        <v>29</v>
      </c>
      <c r="C77" s="1" t="s">
        <v>51</v>
      </c>
      <c r="D77" s="1">
        <f>72+4</f>
        <v>76</v>
      </c>
      <c r="E77">
        <v>299</v>
      </c>
      <c r="F77">
        <v>5.32</v>
      </c>
      <c r="G77">
        <v>29</v>
      </c>
      <c r="H77">
        <v>21</v>
      </c>
      <c r="I77">
        <v>105</v>
      </c>
      <c r="J77">
        <v>8</v>
      </c>
      <c r="K77">
        <v>4.84</v>
      </c>
      <c r="L77" s="1">
        <v>-1</v>
      </c>
    </row>
    <row r="78" spans="1:12" x14ac:dyDescent="0.45">
      <c r="A78" s="1" t="s">
        <v>232</v>
      </c>
      <c r="B78" s="1" t="s">
        <v>77</v>
      </c>
      <c r="C78" s="1" t="s">
        <v>86</v>
      </c>
      <c r="D78" s="1">
        <f>72+4</f>
        <v>76</v>
      </c>
      <c r="E78">
        <v>310</v>
      </c>
      <c r="G78">
        <v>28</v>
      </c>
      <c r="H78">
        <v>29</v>
      </c>
      <c r="I78">
        <v>109</v>
      </c>
      <c r="J78">
        <v>7.77</v>
      </c>
      <c r="K78">
        <v>4.62</v>
      </c>
      <c r="L78" s="1">
        <v>44</v>
      </c>
    </row>
    <row r="79" spans="1:12" x14ac:dyDescent="0.45">
      <c r="A79" s="1" t="s">
        <v>104</v>
      </c>
      <c r="B79" s="1" t="s">
        <v>29</v>
      </c>
      <c r="C79" s="1" t="s">
        <v>105</v>
      </c>
      <c r="D79" s="1">
        <f>72+7</f>
        <v>79</v>
      </c>
      <c r="E79">
        <v>338</v>
      </c>
      <c r="F79">
        <v>5.16</v>
      </c>
      <c r="G79">
        <v>27.5</v>
      </c>
      <c r="H79">
        <v>26</v>
      </c>
      <c r="I79">
        <v>89</v>
      </c>
      <c r="J79">
        <v>8.34</v>
      </c>
      <c r="K79">
        <v>5.28</v>
      </c>
      <c r="L79" s="1">
        <v>-1</v>
      </c>
    </row>
    <row r="80" spans="1:12" x14ac:dyDescent="0.45">
      <c r="A80" s="1" t="s">
        <v>233</v>
      </c>
      <c r="B80" s="1" t="s">
        <v>77</v>
      </c>
      <c r="C80" s="1" t="s">
        <v>32</v>
      </c>
      <c r="D80" s="1">
        <f>72+7</f>
        <v>79</v>
      </c>
      <c r="E80">
        <v>326</v>
      </c>
      <c r="L80" s="1">
        <v>-1</v>
      </c>
    </row>
    <row r="81" spans="1:12" x14ac:dyDescent="0.45">
      <c r="A81" s="1" t="s">
        <v>234</v>
      </c>
      <c r="B81" s="1" t="s">
        <v>29</v>
      </c>
      <c r="C81" s="1" t="s">
        <v>41</v>
      </c>
      <c r="D81" s="1">
        <f>72+3</f>
        <v>75</v>
      </c>
      <c r="E81">
        <v>306</v>
      </c>
      <c r="G81">
        <v>31.5</v>
      </c>
      <c r="H81">
        <v>23</v>
      </c>
      <c r="I81">
        <v>111</v>
      </c>
      <c r="J81">
        <v>7.75</v>
      </c>
      <c r="K81">
        <v>4.82</v>
      </c>
      <c r="L81" s="1">
        <v>-1</v>
      </c>
    </row>
    <row r="82" spans="1:12" x14ac:dyDescent="0.45">
      <c r="A82" s="1" t="s">
        <v>235</v>
      </c>
      <c r="B82" s="1" t="s">
        <v>29</v>
      </c>
      <c r="C82" s="1" t="s">
        <v>25</v>
      </c>
      <c r="D82" s="1">
        <f>72+6</f>
        <v>78</v>
      </c>
      <c r="E82">
        <v>312</v>
      </c>
      <c r="F82">
        <v>5.27</v>
      </c>
      <c r="G82">
        <v>32.5</v>
      </c>
      <c r="H82">
        <v>19</v>
      </c>
      <c r="I82">
        <v>116</v>
      </c>
      <c r="J82">
        <v>7.71</v>
      </c>
      <c r="K82">
        <v>4.71</v>
      </c>
      <c r="L82" s="1">
        <v>136</v>
      </c>
    </row>
    <row r="83" spans="1:12" x14ac:dyDescent="0.45">
      <c r="A83" s="1" t="s">
        <v>236</v>
      </c>
      <c r="B83" s="1" t="s">
        <v>29</v>
      </c>
      <c r="C83" s="1" t="s">
        <v>43</v>
      </c>
      <c r="D83" s="1">
        <f>72+4</f>
        <v>76</v>
      </c>
      <c r="E83">
        <v>314</v>
      </c>
      <c r="L83" s="1">
        <v>-1</v>
      </c>
    </row>
    <row r="84" spans="1:12" x14ac:dyDescent="0.45">
      <c r="A84" s="1" t="s">
        <v>237</v>
      </c>
      <c r="B84" s="1" t="s">
        <v>77</v>
      </c>
      <c r="C84" s="1" t="s">
        <v>73</v>
      </c>
      <c r="D84" s="1">
        <f>72+4</f>
        <v>76</v>
      </c>
      <c r="E84">
        <v>308</v>
      </c>
      <c r="F84">
        <v>4.91</v>
      </c>
      <c r="G84">
        <v>30.5</v>
      </c>
      <c r="H84">
        <v>25</v>
      </c>
      <c r="I84">
        <v>117</v>
      </c>
      <c r="J84">
        <v>7.61</v>
      </c>
      <c r="K84">
        <v>4.54</v>
      </c>
      <c r="L84" s="1">
        <v>14</v>
      </c>
    </row>
    <row r="85" spans="1:12" x14ac:dyDescent="0.45">
      <c r="A85" s="1" t="s">
        <v>238</v>
      </c>
      <c r="B85" s="1" t="s">
        <v>29</v>
      </c>
      <c r="C85" s="1" t="s">
        <v>62</v>
      </c>
      <c r="D85" s="1">
        <f>72+5</f>
        <v>77</v>
      </c>
      <c r="E85">
        <v>310</v>
      </c>
      <c r="F85">
        <v>5.33</v>
      </c>
      <c r="G85">
        <v>25</v>
      </c>
      <c r="I85">
        <v>113</v>
      </c>
      <c r="K85">
        <v>4.74</v>
      </c>
      <c r="L85" s="1">
        <v>37</v>
      </c>
    </row>
    <row r="86" spans="1:12" x14ac:dyDescent="0.45">
      <c r="A86" s="1" t="s">
        <v>239</v>
      </c>
      <c r="B86" s="1" t="s">
        <v>77</v>
      </c>
      <c r="C86" s="1" t="s">
        <v>64</v>
      </c>
      <c r="D86" s="1">
        <f>72+4</f>
        <v>76</v>
      </c>
      <c r="E86">
        <v>303</v>
      </c>
      <c r="F86">
        <v>4.8899999999999997</v>
      </c>
      <c r="G86">
        <v>31</v>
      </c>
      <c r="H86">
        <v>29</v>
      </c>
      <c r="I86">
        <v>107</v>
      </c>
      <c r="J86">
        <v>8.2799999999999994</v>
      </c>
      <c r="K86">
        <v>4.62</v>
      </c>
      <c r="L86" s="1">
        <v>48</v>
      </c>
    </row>
    <row r="87" spans="1:12" x14ac:dyDescent="0.45">
      <c r="A87" s="1" t="s">
        <v>240</v>
      </c>
      <c r="B87" s="1" t="s">
        <v>29</v>
      </c>
      <c r="C87" s="1" t="s">
        <v>10</v>
      </c>
      <c r="D87" s="1">
        <f>72+7</f>
        <v>79</v>
      </c>
      <c r="E87">
        <v>317</v>
      </c>
      <c r="F87">
        <v>5.05</v>
      </c>
      <c r="G87">
        <v>33.5</v>
      </c>
      <c r="H87">
        <v>23</v>
      </c>
      <c r="I87">
        <v>111</v>
      </c>
      <c r="J87">
        <v>7.66</v>
      </c>
      <c r="K87">
        <v>4.58</v>
      </c>
      <c r="L87" s="1">
        <v>31</v>
      </c>
    </row>
    <row r="88" spans="1:12" x14ac:dyDescent="0.45">
      <c r="A88" s="1" t="s">
        <v>241</v>
      </c>
      <c r="B88" s="1" t="s">
        <v>77</v>
      </c>
      <c r="C88" s="1" t="s">
        <v>17</v>
      </c>
      <c r="D88" s="1">
        <f>72+5</f>
        <v>77</v>
      </c>
      <c r="E88">
        <v>308</v>
      </c>
      <c r="H88">
        <v>28</v>
      </c>
      <c r="I88">
        <v>112</v>
      </c>
      <c r="J88">
        <v>7.66</v>
      </c>
      <c r="K88">
        <v>4.57</v>
      </c>
      <c r="L88" s="1">
        <v>90</v>
      </c>
    </row>
    <row r="89" spans="1:12" x14ac:dyDescent="0.45">
      <c r="A89" s="1" t="s">
        <v>242</v>
      </c>
      <c r="B89" s="1" t="s">
        <v>29</v>
      </c>
      <c r="C89" s="1" t="s">
        <v>106</v>
      </c>
      <c r="D89" s="1">
        <f>72+5</f>
        <v>77</v>
      </c>
      <c r="E89">
        <v>314</v>
      </c>
      <c r="F89">
        <v>5.32</v>
      </c>
      <c r="G89">
        <v>36</v>
      </c>
      <c r="I89">
        <v>109</v>
      </c>
      <c r="J89">
        <v>8.07</v>
      </c>
      <c r="K89">
        <v>4.75</v>
      </c>
      <c r="L89" s="1">
        <v>248</v>
      </c>
    </row>
    <row r="90" spans="1:12" x14ac:dyDescent="0.45">
      <c r="A90" s="1" t="s">
        <v>243</v>
      </c>
      <c r="B90" s="1" t="s">
        <v>29</v>
      </c>
      <c r="C90" s="1" t="s">
        <v>53</v>
      </c>
      <c r="D90" s="1">
        <f>72+7</f>
        <v>79</v>
      </c>
      <c r="E90">
        <v>324</v>
      </c>
      <c r="H90">
        <v>27</v>
      </c>
      <c r="I90">
        <v>114</v>
      </c>
      <c r="J90">
        <v>8.07</v>
      </c>
      <c r="K90">
        <v>4.5</v>
      </c>
      <c r="L90" s="1">
        <v>-1</v>
      </c>
    </row>
    <row r="91" spans="1:12" x14ac:dyDescent="0.45">
      <c r="A91" s="1" t="s">
        <v>244</v>
      </c>
      <c r="B91" s="1" t="s">
        <v>77</v>
      </c>
      <c r="C91" s="1" t="s">
        <v>72</v>
      </c>
      <c r="D91" s="1">
        <f>72+4</f>
        <v>76</v>
      </c>
      <c r="E91">
        <v>301</v>
      </c>
      <c r="F91">
        <v>5.0199999999999996</v>
      </c>
      <c r="G91">
        <v>33</v>
      </c>
      <c r="H91">
        <v>39</v>
      </c>
      <c r="I91">
        <v>112</v>
      </c>
      <c r="J91">
        <v>8.06</v>
      </c>
      <c r="K91">
        <v>4.9400000000000004</v>
      </c>
      <c r="L91" s="1">
        <v>-1</v>
      </c>
    </row>
    <row r="92" spans="1:12" x14ac:dyDescent="0.45">
      <c r="A92" s="1" t="s">
        <v>245</v>
      </c>
      <c r="B92" s="1" t="s">
        <v>77</v>
      </c>
      <c r="C92" s="1" t="s">
        <v>62</v>
      </c>
      <c r="D92" s="1">
        <f>72+3</f>
        <v>75</v>
      </c>
      <c r="E92">
        <v>307</v>
      </c>
      <c r="F92">
        <v>5.13</v>
      </c>
      <c r="G92">
        <v>27.5</v>
      </c>
      <c r="H92">
        <v>27</v>
      </c>
      <c r="I92">
        <v>98</v>
      </c>
      <c r="J92">
        <v>7.72</v>
      </c>
      <c r="K92">
        <v>4.78</v>
      </c>
      <c r="L92" s="1">
        <v>246</v>
      </c>
    </row>
    <row r="93" spans="1:12" x14ac:dyDescent="0.45">
      <c r="A93" s="1" t="s">
        <v>246</v>
      </c>
      <c r="B93" s="1" t="s">
        <v>29</v>
      </c>
      <c r="C93" s="1" t="s">
        <v>22</v>
      </c>
      <c r="D93" s="1">
        <f>72+4</f>
        <v>76</v>
      </c>
      <c r="E93">
        <v>307</v>
      </c>
      <c r="F93">
        <v>5.2</v>
      </c>
      <c r="G93">
        <v>22.5</v>
      </c>
      <c r="H93">
        <v>20</v>
      </c>
      <c r="J93">
        <v>7.83</v>
      </c>
      <c r="K93">
        <v>4.7</v>
      </c>
      <c r="L93" s="1">
        <v>153</v>
      </c>
    </row>
    <row r="94" spans="1:12" x14ac:dyDescent="0.45">
      <c r="A94" s="1" t="s">
        <v>247</v>
      </c>
      <c r="B94" s="1" t="s">
        <v>29</v>
      </c>
      <c r="C94" s="1" t="s">
        <v>107</v>
      </c>
      <c r="D94" s="1">
        <f>72+6</f>
        <v>78</v>
      </c>
      <c r="E94">
        <v>309</v>
      </c>
      <c r="F94">
        <v>5.12</v>
      </c>
      <c r="G94">
        <v>33.5</v>
      </c>
      <c r="H94">
        <v>16</v>
      </c>
      <c r="I94">
        <v>114</v>
      </c>
      <c r="J94">
        <v>7.61</v>
      </c>
      <c r="K94">
        <v>4.7</v>
      </c>
      <c r="L94" s="1">
        <v>91</v>
      </c>
    </row>
    <row r="95" spans="1:12" x14ac:dyDescent="0.45">
      <c r="A95" s="1" t="s">
        <v>248</v>
      </c>
      <c r="B95" s="1" t="s">
        <v>29</v>
      </c>
      <c r="C95" s="1" t="s">
        <v>28</v>
      </c>
      <c r="D95" s="1">
        <f>72+7</f>
        <v>79</v>
      </c>
      <c r="E95">
        <v>320</v>
      </c>
      <c r="H95">
        <v>25</v>
      </c>
      <c r="L95" s="1">
        <v>-1</v>
      </c>
    </row>
    <row r="96" spans="1:12" x14ac:dyDescent="0.45">
      <c r="A96" s="1" t="s">
        <v>249</v>
      </c>
      <c r="B96" s="1" t="s">
        <v>77</v>
      </c>
      <c r="C96" s="1" t="s">
        <v>18</v>
      </c>
      <c r="D96" s="1">
        <f>72+4</f>
        <v>76</v>
      </c>
      <c r="E96">
        <v>307</v>
      </c>
      <c r="H96">
        <v>21</v>
      </c>
      <c r="L96" s="1">
        <v>123</v>
      </c>
    </row>
    <row r="97" spans="1:12" x14ac:dyDescent="0.45">
      <c r="A97" s="1" t="s">
        <v>250</v>
      </c>
      <c r="B97" s="1" t="s">
        <v>29</v>
      </c>
      <c r="C97" s="1" t="s">
        <v>25</v>
      </c>
      <c r="D97" s="1">
        <f>72+6</f>
        <v>78</v>
      </c>
      <c r="E97">
        <v>305</v>
      </c>
      <c r="F97">
        <v>5.09</v>
      </c>
      <c r="G97">
        <v>27</v>
      </c>
      <c r="H97">
        <v>23</v>
      </c>
      <c r="I97">
        <v>115</v>
      </c>
      <c r="J97">
        <v>7.9</v>
      </c>
      <c r="K97">
        <v>5.0199999999999996</v>
      </c>
      <c r="L97" s="1">
        <v>202</v>
      </c>
    </row>
    <row r="98" spans="1:12" x14ac:dyDescent="0.45">
      <c r="A98" s="1" t="s">
        <v>251</v>
      </c>
      <c r="B98" s="1" t="s">
        <v>29</v>
      </c>
      <c r="C98" s="1" t="s">
        <v>85</v>
      </c>
      <c r="D98" s="1">
        <f>72+5</f>
        <v>77</v>
      </c>
      <c r="E98">
        <v>312</v>
      </c>
      <c r="F98">
        <v>5.3</v>
      </c>
      <c r="G98">
        <v>28.5</v>
      </c>
      <c r="H98">
        <v>23</v>
      </c>
      <c r="I98">
        <v>110</v>
      </c>
      <c r="J98">
        <v>7.69</v>
      </c>
      <c r="K98">
        <v>4.5199999999999996</v>
      </c>
      <c r="L98" s="1">
        <v>41</v>
      </c>
    </row>
    <row r="99" spans="1:12" x14ac:dyDescent="0.45">
      <c r="A99" s="1" t="s">
        <v>252</v>
      </c>
      <c r="B99" s="1" t="s">
        <v>29</v>
      </c>
      <c r="C99" s="1" t="s">
        <v>28</v>
      </c>
      <c r="D99" s="1">
        <f>72+6</f>
        <v>78</v>
      </c>
      <c r="E99">
        <v>312</v>
      </c>
      <c r="F99">
        <v>5.21</v>
      </c>
      <c r="G99">
        <v>30.5</v>
      </c>
      <c r="H99">
        <v>18</v>
      </c>
      <c r="I99">
        <v>108</v>
      </c>
      <c r="J99">
        <v>7.75</v>
      </c>
      <c r="K99">
        <v>4.76</v>
      </c>
      <c r="L99" s="1">
        <v>-1</v>
      </c>
    </row>
    <row r="100" spans="1:12" x14ac:dyDescent="0.45">
      <c r="A100" s="1" t="s">
        <v>253</v>
      </c>
      <c r="B100" s="1" t="s">
        <v>29</v>
      </c>
      <c r="C100" s="1" t="s">
        <v>18</v>
      </c>
      <c r="D100" s="1">
        <f>72+5</f>
        <v>77</v>
      </c>
      <c r="E100">
        <v>305</v>
      </c>
      <c r="F100">
        <v>5.29</v>
      </c>
      <c r="G100">
        <v>27.5</v>
      </c>
      <c r="H100">
        <v>28</v>
      </c>
      <c r="I100">
        <v>101</v>
      </c>
      <c r="J100">
        <v>7.89</v>
      </c>
      <c r="K100">
        <v>4.7</v>
      </c>
      <c r="L100" s="1">
        <v>114</v>
      </c>
    </row>
    <row r="101" spans="1:12" x14ac:dyDescent="0.45">
      <c r="A101" s="1" t="s">
        <v>254</v>
      </c>
      <c r="B101" s="1" t="s">
        <v>29</v>
      </c>
      <c r="C101" s="1" t="s">
        <v>108</v>
      </c>
      <c r="D101" s="1">
        <f>72+6</f>
        <v>78</v>
      </c>
      <c r="E101">
        <v>327</v>
      </c>
      <c r="G101">
        <v>28</v>
      </c>
      <c r="H101">
        <v>27</v>
      </c>
      <c r="I101">
        <v>108</v>
      </c>
      <c r="J101">
        <v>7.77</v>
      </c>
      <c r="K101">
        <v>4.6900000000000004</v>
      </c>
      <c r="L101" s="1">
        <v>55</v>
      </c>
    </row>
    <row r="102" spans="1:12" x14ac:dyDescent="0.45">
      <c r="A102" s="1" t="s">
        <v>255</v>
      </c>
      <c r="B102" s="1" t="s">
        <v>29</v>
      </c>
      <c r="C102" s="1" t="s">
        <v>88</v>
      </c>
      <c r="D102" s="1">
        <f>72+6</f>
        <v>78</v>
      </c>
      <c r="E102">
        <v>313</v>
      </c>
      <c r="F102">
        <v>5.27</v>
      </c>
      <c r="G102">
        <v>30.5</v>
      </c>
      <c r="H102">
        <v>23</v>
      </c>
      <c r="I102">
        <v>111</v>
      </c>
      <c r="J102">
        <v>8.01</v>
      </c>
      <c r="K102">
        <v>5</v>
      </c>
      <c r="L102" s="1">
        <v>-1</v>
      </c>
    </row>
    <row r="103" spans="1:12" x14ac:dyDescent="0.45">
      <c r="A103" s="1" t="s">
        <v>256</v>
      </c>
      <c r="B103" s="1" t="s">
        <v>77</v>
      </c>
      <c r="C103" s="1" t="s">
        <v>23</v>
      </c>
      <c r="D103" s="1">
        <f>72+2</f>
        <v>74</v>
      </c>
      <c r="E103">
        <v>293</v>
      </c>
      <c r="H103">
        <v>22</v>
      </c>
      <c r="L103" s="1">
        <v>-1</v>
      </c>
    </row>
    <row r="104" spans="1:12" x14ac:dyDescent="0.45">
      <c r="A104" s="1" t="s">
        <v>257</v>
      </c>
      <c r="B104" s="1" t="s">
        <v>29</v>
      </c>
      <c r="C104" s="1" t="s">
        <v>32</v>
      </c>
      <c r="D104" s="1">
        <f>72+5</f>
        <v>77</v>
      </c>
      <c r="E104">
        <v>312</v>
      </c>
      <c r="H104">
        <v>24</v>
      </c>
      <c r="L104" s="1">
        <v>35</v>
      </c>
    </row>
    <row r="105" spans="1:12" x14ac:dyDescent="0.45">
      <c r="A105" s="1" t="s">
        <v>109</v>
      </c>
      <c r="B105" s="1" t="s">
        <v>29</v>
      </c>
      <c r="C105" s="1" t="s">
        <v>110</v>
      </c>
      <c r="D105" s="1">
        <f>72+5</f>
        <v>77</v>
      </c>
      <c r="E105">
        <v>323</v>
      </c>
      <c r="F105">
        <v>5.05</v>
      </c>
      <c r="G105">
        <v>28.5</v>
      </c>
      <c r="H105">
        <v>26</v>
      </c>
      <c r="I105">
        <v>105</v>
      </c>
      <c r="J105">
        <v>7.88</v>
      </c>
      <c r="K105">
        <v>5.05</v>
      </c>
      <c r="L105" s="1">
        <v>-1</v>
      </c>
    </row>
    <row r="106" spans="1:12" x14ac:dyDescent="0.45">
      <c r="A106" s="1" t="s">
        <v>258</v>
      </c>
      <c r="B106" s="1" t="s">
        <v>29</v>
      </c>
      <c r="C106" s="1" t="s">
        <v>22</v>
      </c>
      <c r="D106" s="1">
        <f>72+4</f>
        <v>76</v>
      </c>
      <c r="E106">
        <v>302</v>
      </c>
      <c r="F106">
        <v>5.12</v>
      </c>
      <c r="G106">
        <v>28</v>
      </c>
      <c r="H106">
        <v>23</v>
      </c>
      <c r="I106">
        <v>100</v>
      </c>
      <c r="J106">
        <v>8.01</v>
      </c>
      <c r="K106">
        <v>4.79</v>
      </c>
      <c r="L106" s="1">
        <v>11</v>
      </c>
    </row>
    <row r="107" spans="1:12" x14ac:dyDescent="0.45">
      <c r="A107" s="1" t="s">
        <v>259</v>
      </c>
      <c r="B107" s="1" t="s">
        <v>77</v>
      </c>
      <c r="C107" s="1" t="s">
        <v>10</v>
      </c>
      <c r="D107" s="1">
        <f>72+8</f>
        <v>80</v>
      </c>
      <c r="E107">
        <v>318</v>
      </c>
      <c r="F107">
        <v>5.6</v>
      </c>
      <c r="G107">
        <v>24.5</v>
      </c>
      <c r="I107">
        <v>92</v>
      </c>
      <c r="L107" s="1">
        <v>-1</v>
      </c>
    </row>
    <row r="108" spans="1:12" x14ac:dyDescent="0.45">
      <c r="A108" s="1" t="s">
        <v>260</v>
      </c>
      <c r="B108" s="1" t="s">
        <v>77</v>
      </c>
      <c r="C108" s="1" t="s">
        <v>19</v>
      </c>
      <c r="D108" s="1">
        <f>72+4</f>
        <v>76</v>
      </c>
      <c r="E108">
        <v>302</v>
      </c>
      <c r="F108">
        <v>5.17</v>
      </c>
      <c r="G108">
        <v>34</v>
      </c>
      <c r="H108">
        <v>26</v>
      </c>
      <c r="I108">
        <v>115</v>
      </c>
      <c r="L108" s="1">
        <v>180</v>
      </c>
    </row>
    <row r="109" spans="1:12" x14ac:dyDescent="0.45">
      <c r="A109" s="1" t="s">
        <v>261</v>
      </c>
      <c r="B109" s="1" t="s">
        <v>77</v>
      </c>
      <c r="C109" s="1" t="s">
        <v>34</v>
      </c>
      <c r="D109" s="1">
        <f>72+2</f>
        <v>74</v>
      </c>
      <c r="E109">
        <v>314</v>
      </c>
      <c r="F109">
        <v>5.21</v>
      </c>
      <c r="G109">
        <v>24.5</v>
      </c>
      <c r="H109">
        <v>26</v>
      </c>
      <c r="I109">
        <v>104</v>
      </c>
      <c r="L109" s="1">
        <v>250</v>
      </c>
    </row>
    <row r="110" spans="1:12" x14ac:dyDescent="0.45">
      <c r="A110" s="1" t="s">
        <v>262</v>
      </c>
      <c r="B110" s="1" t="s">
        <v>77</v>
      </c>
      <c r="C110" s="1" t="s">
        <v>112</v>
      </c>
      <c r="D110" s="1">
        <f>72+6</f>
        <v>78</v>
      </c>
      <c r="E110">
        <v>309</v>
      </c>
      <c r="L110" s="1">
        <v>116</v>
      </c>
    </row>
    <row r="111" spans="1:12" x14ac:dyDescent="0.45">
      <c r="A111" s="1" t="s">
        <v>263</v>
      </c>
      <c r="B111" s="1" t="s">
        <v>77</v>
      </c>
      <c r="C111" s="1" t="s">
        <v>13</v>
      </c>
      <c r="D111" s="1">
        <f>72+7</f>
        <v>79</v>
      </c>
      <c r="E111">
        <v>364</v>
      </c>
      <c r="F111">
        <v>5.0999999999999996</v>
      </c>
      <c r="H111">
        <v>23</v>
      </c>
      <c r="L111" s="1">
        <v>11</v>
      </c>
    </row>
    <row r="112" spans="1:12" x14ac:dyDescent="0.45">
      <c r="A112" s="1" t="s">
        <v>264</v>
      </c>
      <c r="B112" s="1" t="s">
        <v>77</v>
      </c>
      <c r="C112" s="1" t="s">
        <v>42</v>
      </c>
      <c r="D112" s="1">
        <f>72+4</f>
        <v>76</v>
      </c>
      <c r="E112">
        <v>314</v>
      </c>
      <c r="L112" s="1">
        <v>146</v>
      </c>
    </row>
    <row r="113" spans="1:12" x14ac:dyDescent="0.45">
      <c r="A113" s="1" t="s">
        <v>265</v>
      </c>
      <c r="B113" s="1" t="s">
        <v>77</v>
      </c>
      <c r="C113" s="1" t="s">
        <v>44</v>
      </c>
      <c r="D113" s="1">
        <f>72+5</f>
        <v>77</v>
      </c>
      <c r="E113">
        <v>315</v>
      </c>
      <c r="L113" s="1">
        <v>143</v>
      </c>
    </row>
    <row r="114" spans="1:12" x14ac:dyDescent="0.45">
      <c r="A114" s="1" t="s">
        <v>266</v>
      </c>
      <c r="B114" s="1" t="s">
        <v>77</v>
      </c>
      <c r="C114" s="1" t="s">
        <v>26</v>
      </c>
      <c r="D114" s="1">
        <f>72+5</f>
        <v>77</v>
      </c>
      <c r="E114">
        <v>300</v>
      </c>
      <c r="H114">
        <v>20</v>
      </c>
      <c r="L114" s="1">
        <v>-1</v>
      </c>
    </row>
    <row r="115" spans="1:12" x14ac:dyDescent="0.45">
      <c r="A115" s="1" t="s">
        <v>267</v>
      </c>
      <c r="B115" s="1" t="s">
        <v>77</v>
      </c>
      <c r="C115" s="1" t="s">
        <v>40</v>
      </c>
      <c r="D115" s="1">
        <f>72+4</f>
        <v>76</v>
      </c>
      <c r="E115">
        <v>321</v>
      </c>
      <c r="F115">
        <v>5.05</v>
      </c>
      <c r="L115" s="1">
        <v>108</v>
      </c>
    </row>
    <row r="116" spans="1:12" x14ac:dyDescent="0.45">
      <c r="A116" s="1" t="s">
        <v>268</v>
      </c>
      <c r="B116" s="1" t="s">
        <v>77</v>
      </c>
      <c r="C116" s="1" t="s">
        <v>98</v>
      </c>
      <c r="D116" s="1">
        <f>72+4</f>
        <v>76</v>
      </c>
      <c r="E116">
        <v>308</v>
      </c>
      <c r="F116">
        <v>5.29</v>
      </c>
      <c r="G116">
        <v>25</v>
      </c>
      <c r="H116">
        <v>26</v>
      </c>
      <c r="I116">
        <v>101</v>
      </c>
      <c r="L116" s="1">
        <v>129</v>
      </c>
    </row>
    <row r="117" spans="1:12" x14ac:dyDescent="0.45">
      <c r="A117" s="1" t="s">
        <v>269</v>
      </c>
      <c r="B117" s="1" t="s">
        <v>77</v>
      </c>
      <c r="C117" s="1" t="s">
        <v>54</v>
      </c>
      <c r="D117" s="1">
        <f>72+6</f>
        <v>78</v>
      </c>
      <c r="E117">
        <v>311</v>
      </c>
      <c r="F117">
        <v>4.93</v>
      </c>
      <c r="G117">
        <v>30</v>
      </c>
      <c r="H117">
        <v>30</v>
      </c>
      <c r="I117">
        <v>111</v>
      </c>
      <c r="J117">
        <v>7.26</v>
      </c>
      <c r="K117">
        <v>4.46</v>
      </c>
      <c r="L117" s="1">
        <v>58</v>
      </c>
    </row>
    <row r="118" spans="1:12" x14ac:dyDescent="0.45">
      <c r="A118" s="1" t="s">
        <v>270</v>
      </c>
      <c r="B118" s="1" t="s">
        <v>77</v>
      </c>
      <c r="C118" s="1" t="s">
        <v>79</v>
      </c>
      <c r="D118" s="1">
        <f>72+3</f>
        <v>75</v>
      </c>
      <c r="E118">
        <v>313</v>
      </c>
      <c r="H118">
        <v>11</v>
      </c>
      <c r="L118" s="1">
        <v>-1</v>
      </c>
    </row>
    <row r="119" spans="1:12" x14ac:dyDescent="0.45">
      <c r="A119" s="1" t="s">
        <v>271</v>
      </c>
      <c r="B119" s="1" t="s">
        <v>77</v>
      </c>
      <c r="C119" s="1" t="s">
        <v>40</v>
      </c>
      <c r="D119" s="1">
        <f>72+3</f>
        <v>75</v>
      </c>
      <c r="E119">
        <v>312</v>
      </c>
      <c r="F119">
        <v>5.27</v>
      </c>
      <c r="H119">
        <v>25</v>
      </c>
      <c r="L119" s="1">
        <v>83</v>
      </c>
    </row>
    <row r="120" spans="1:12" x14ac:dyDescent="0.45">
      <c r="A120" s="1" t="s">
        <v>272</v>
      </c>
      <c r="B120" s="1" t="s">
        <v>77</v>
      </c>
      <c r="C120" s="1" t="s">
        <v>38</v>
      </c>
      <c r="D120" s="1">
        <f>72+5</f>
        <v>77</v>
      </c>
      <c r="E120">
        <v>306</v>
      </c>
      <c r="F120">
        <v>5.0199999999999996</v>
      </c>
      <c r="G120">
        <v>29.5</v>
      </c>
      <c r="H120">
        <v>23</v>
      </c>
      <c r="I120">
        <v>114</v>
      </c>
      <c r="L120" s="1">
        <v>145</v>
      </c>
    </row>
    <row r="121" spans="1:12" x14ac:dyDescent="0.45">
      <c r="A121" s="1" t="s">
        <v>273</v>
      </c>
      <c r="B121" s="1" t="s">
        <v>77</v>
      </c>
      <c r="C121" s="1" t="s">
        <v>79</v>
      </c>
      <c r="D121" s="1">
        <f>72+6</f>
        <v>78</v>
      </c>
      <c r="E121">
        <v>331</v>
      </c>
      <c r="F121">
        <v>5.52</v>
      </c>
      <c r="G121">
        <v>25</v>
      </c>
      <c r="H121">
        <v>21</v>
      </c>
      <c r="L121" s="1">
        <v>-1</v>
      </c>
    </row>
    <row r="122" spans="1:12" x14ac:dyDescent="0.45">
      <c r="A122" s="1" t="s">
        <v>274</v>
      </c>
      <c r="B122" s="1" t="s">
        <v>77</v>
      </c>
      <c r="C122" s="1" t="s">
        <v>37</v>
      </c>
      <c r="D122" s="1">
        <f>72+4</f>
        <v>76</v>
      </c>
      <c r="E122">
        <v>303</v>
      </c>
      <c r="F122">
        <v>5.5</v>
      </c>
      <c r="H122">
        <v>33</v>
      </c>
      <c r="L122" s="1">
        <v>208</v>
      </c>
    </row>
    <row r="123" spans="1:12" x14ac:dyDescent="0.45">
      <c r="A123" s="1" t="s">
        <v>275</v>
      </c>
      <c r="B123" s="1" t="s">
        <v>77</v>
      </c>
      <c r="C123" s="1" t="s">
        <v>10</v>
      </c>
      <c r="D123" s="1">
        <f>72+1</f>
        <v>73</v>
      </c>
      <c r="E123">
        <v>302</v>
      </c>
      <c r="F123">
        <v>5.0999999999999996</v>
      </c>
      <c r="G123">
        <v>29.5</v>
      </c>
      <c r="H123">
        <v>20</v>
      </c>
      <c r="I123">
        <v>103</v>
      </c>
      <c r="L123" s="1">
        <v>160</v>
      </c>
    </row>
    <row r="124" spans="1:12" x14ac:dyDescent="0.45">
      <c r="A124" s="1" t="s">
        <v>276</v>
      </c>
      <c r="B124" s="1" t="s">
        <v>77</v>
      </c>
      <c r="C124" s="1" t="s">
        <v>88</v>
      </c>
      <c r="D124" s="1">
        <f>72+8</f>
        <v>80</v>
      </c>
      <c r="E124">
        <v>311</v>
      </c>
      <c r="F124">
        <v>5.16</v>
      </c>
      <c r="G124">
        <v>28</v>
      </c>
      <c r="H124">
        <v>21</v>
      </c>
      <c r="I124">
        <v>112</v>
      </c>
      <c r="J124">
        <v>8.02</v>
      </c>
      <c r="K124">
        <v>4.8600000000000003</v>
      </c>
      <c r="L124" s="1">
        <v>126</v>
      </c>
    </row>
    <row r="125" spans="1:12" x14ac:dyDescent="0.45">
      <c r="A125" s="1" t="s">
        <v>277</v>
      </c>
      <c r="B125" s="1" t="s">
        <v>77</v>
      </c>
      <c r="C125" s="1" t="s">
        <v>39</v>
      </c>
      <c r="D125" s="1">
        <f>72+4</f>
        <v>76</v>
      </c>
      <c r="E125">
        <v>307</v>
      </c>
      <c r="F125">
        <v>5.18</v>
      </c>
      <c r="G125">
        <v>30</v>
      </c>
      <c r="H125">
        <v>23</v>
      </c>
      <c r="I125">
        <v>110</v>
      </c>
      <c r="J125">
        <v>7.45</v>
      </c>
      <c r="K125">
        <v>4.5999999999999996</v>
      </c>
      <c r="L125" s="1">
        <v>78</v>
      </c>
    </row>
    <row r="126" spans="1:12" x14ac:dyDescent="0.45">
      <c r="A126" s="1" t="s">
        <v>278</v>
      </c>
      <c r="B126" s="1" t="s">
        <v>77</v>
      </c>
      <c r="C126" s="1" t="s">
        <v>27</v>
      </c>
      <c r="D126" s="1">
        <f>72+4</f>
        <v>76</v>
      </c>
      <c r="E126">
        <v>308</v>
      </c>
      <c r="F126">
        <v>5.26</v>
      </c>
      <c r="G126">
        <v>33</v>
      </c>
      <c r="H126">
        <v>27</v>
      </c>
      <c r="I126">
        <v>105</v>
      </c>
      <c r="J126">
        <v>8.41</v>
      </c>
      <c r="K126">
        <v>4.88</v>
      </c>
      <c r="L126" s="1">
        <v>195</v>
      </c>
    </row>
    <row r="127" spans="1:12" x14ac:dyDescent="0.45">
      <c r="A127" s="1" t="s">
        <v>279</v>
      </c>
      <c r="B127" s="1" t="s">
        <v>77</v>
      </c>
      <c r="C127" s="1" t="s">
        <v>90</v>
      </c>
      <c r="D127" s="1">
        <f>72+5</f>
        <v>77</v>
      </c>
      <c r="E127">
        <v>323</v>
      </c>
      <c r="L127" s="1">
        <v>39</v>
      </c>
    </row>
    <row r="128" spans="1:12" x14ac:dyDescent="0.45">
      <c r="A128" s="1" t="s">
        <v>280</v>
      </c>
      <c r="B128" s="1" t="s">
        <v>77</v>
      </c>
      <c r="C128" s="1" t="s">
        <v>28</v>
      </c>
      <c r="D128" s="1">
        <f>72+3</f>
        <v>75</v>
      </c>
      <c r="E128">
        <v>309</v>
      </c>
      <c r="F128">
        <v>5.34</v>
      </c>
      <c r="G128">
        <v>32</v>
      </c>
      <c r="I128">
        <v>108</v>
      </c>
      <c r="J128">
        <v>8.14</v>
      </c>
      <c r="K128">
        <v>4.6500000000000004</v>
      </c>
      <c r="L128" s="1">
        <v>156</v>
      </c>
    </row>
    <row r="129" spans="1:12" x14ac:dyDescent="0.45">
      <c r="A129" s="1" t="s">
        <v>281</v>
      </c>
      <c r="B129" s="1" t="s">
        <v>77</v>
      </c>
      <c r="C129" s="1" t="s">
        <v>66</v>
      </c>
      <c r="D129" s="1">
        <f>72+3</f>
        <v>75</v>
      </c>
      <c r="E129">
        <v>309</v>
      </c>
      <c r="F129">
        <v>5.22</v>
      </c>
      <c r="G129">
        <v>27</v>
      </c>
      <c r="H129">
        <v>25</v>
      </c>
      <c r="I129">
        <v>94</v>
      </c>
      <c r="J129">
        <v>8.0299999999999994</v>
      </c>
      <c r="K129">
        <v>4.87</v>
      </c>
      <c r="L129" s="1">
        <v>-1</v>
      </c>
    </row>
    <row r="130" spans="1:12" x14ac:dyDescent="0.45">
      <c r="A130" s="1" t="s">
        <v>282</v>
      </c>
      <c r="B130" s="1" t="s">
        <v>77</v>
      </c>
      <c r="C130" s="1" t="s">
        <v>33</v>
      </c>
      <c r="D130" s="1">
        <f>72+5</f>
        <v>77</v>
      </c>
      <c r="E130">
        <v>322</v>
      </c>
      <c r="F130">
        <v>5.07</v>
      </c>
      <c r="G130">
        <v>31</v>
      </c>
      <c r="H130">
        <v>27</v>
      </c>
      <c r="I130">
        <v>115</v>
      </c>
      <c r="J130">
        <v>7.95</v>
      </c>
      <c r="L130" s="1">
        <v>18</v>
      </c>
    </row>
    <row r="131" spans="1:12" x14ac:dyDescent="0.45">
      <c r="A131" s="1" t="s">
        <v>283</v>
      </c>
      <c r="B131" s="1" t="s">
        <v>77</v>
      </c>
      <c r="C131" s="1" t="s">
        <v>25</v>
      </c>
      <c r="D131" s="1">
        <f>72+3</f>
        <v>75</v>
      </c>
      <c r="E131">
        <v>306</v>
      </c>
      <c r="F131">
        <v>5.23</v>
      </c>
      <c r="G131">
        <v>26</v>
      </c>
      <c r="H131">
        <v>28</v>
      </c>
      <c r="I131">
        <v>98</v>
      </c>
      <c r="J131">
        <v>7.83</v>
      </c>
      <c r="K131">
        <v>5.0199999999999996</v>
      </c>
      <c r="L131" s="1">
        <v>75</v>
      </c>
    </row>
    <row r="132" spans="1:12" x14ac:dyDescent="0.45">
      <c r="A132" s="1" t="s">
        <v>284</v>
      </c>
      <c r="B132" s="1" t="s">
        <v>77</v>
      </c>
      <c r="C132" s="1" t="s">
        <v>99</v>
      </c>
      <c r="D132" s="1">
        <f>72+5</f>
        <v>77</v>
      </c>
      <c r="E132">
        <v>319</v>
      </c>
      <c r="F132">
        <v>5.27</v>
      </c>
      <c r="G132">
        <v>28.5</v>
      </c>
      <c r="H132">
        <v>24</v>
      </c>
      <c r="I132">
        <v>109</v>
      </c>
      <c r="L132" s="1">
        <v>72</v>
      </c>
    </row>
    <row r="133" spans="1:12" x14ac:dyDescent="0.45">
      <c r="A133" s="1" t="s">
        <v>285</v>
      </c>
      <c r="B133" s="1" t="s">
        <v>77</v>
      </c>
      <c r="C133" s="1" t="s">
        <v>21</v>
      </c>
      <c r="D133" s="1">
        <f>72+3</f>
        <v>75</v>
      </c>
      <c r="E133">
        <v>337</v>
      </c>
      <c r="L133" s="1">
        <v>111</v>
      </c>
    </row>
    <row r="134" spans="1:12" x14ac:dyDescent="0.45">
      <c r="A134" s="1" t="s">
        <v>286</v>
      </c>
      <c r="B134" s="1" t="s">
        <v>77</v>
      </c>
      <c r="C134" s="1" t="s">
        <v>37</v>
      </c>
      <c r="D134" s="1">
        <f>72+4</f>
        <v>76</v>
      </c>
      <c r="E134">
        <v>310</v>
      </c>
      <c r="F134">
        <v>5.1100000000000003</v>
      </c>
      <c r="G134">
        <v>25.5</v>
      </c>
      <c r="I134">
        <v>107</v>
      </c>
      <c r="J134">
        <v>8.1300000000000008</v>
      </c>
      <c r="K134">
        <v>4.9000000000000004</v>
      </c>
      <c r="L134" s="1">
        <v>150</v>
      </c>
    </row>
    <row r="135" spans="1:12" x14ac:dyDescent="0.45">
      <c r="A135" s="1" t="s">
        <v>287</v>
      </c>
      <c r="B135" s="1" t="s">
        <v>77</v>
      </c>
      <c r="C135" s="1" t="s">
        <v>40</v>
      </c>
      <c r="D135" s="1">
        <f>72+2</f>
        <v>74</v>
      </c>
      <c r="E135">
        <v>327</v>
      </c>
      <c r="F135">
        <v>5.24</v>
      </c>
      <c r="G135">
        <v>30</v>
      </c>
      <c r="H135">
        <v>27</v>
      </c>
      <c r="I135">
        <v>108</v>
      </c>
      <c r="L135" s="1">
        <v>69</v>
      </c>
    </row>
    <row r="136" spans="1:12" x14ac:dyDescent="0.45">
      <c r="A136" s="1" t="s">
        <v>288</v>
      </c>
      <c r="B136" s="1" t="s">
        <v>77</v>
      </c>
      <c r="C136" s="1" t="s">
        <v>47</v>
      </c>
      <c r="D136" s="1">
        <f>72+6</f>
        <v>78</v>
      </c>
      <c r="E136">
        <v>306</v>
      </c>
      <c r="F136">
        <v>5.35</v>
      </c>
      <c r="G136">
        <v>26</v>
      </c>
      <c r="H136">
        <v>20</v>
      </c>
      <c r="I136">
        <v>106</v>
      </c>
      <c r="J136">
        <v>7.87</v>
      </c>
      <c r="K136">
        <v>5</v>
      </c>
      <c r="L136" s="1">
        <v>153</v>
      </c>
    </row>
    <row r="137" spans="1:12" x14ac:dyDescent="0.45">
      <c r="A137" s="1" t="s">
        <v>289</v>
      </c>
      <c r="B137" s="1" t="s">
        <v>77</v>
      </c>
      <c r="C137" s="1" t="s">
        <v>54</v>
      </c>
      <c r="D137" s="1">
        <f>72+5</f>
        <v>77</v>
      </c>
      <c r="E137">
        <v>309</v>
      </c>
      <c r="F137">
        <v>5.13</v>
      </c>
      <c r="G137">
        <v>34</v>
      </c>
      <c r="H137">
        <v>26</v>
      </c>
      <c r="I137">
        <v>109</v>
      </c>
      <c r="J137">
        <v>7.85</v>
      </c>
      <c r="K137">
        <v>4.7300000000000004</v>
      </c>
      <c r="L137" s="1">
        <v>-1</v>
      </c>
    </row>
    <row r="138" spans="1:12" x14ac:dyDescent="0.45">
      <c r="A138" s="1" t="s">
        <v>290</v>
      </c>
      <c r="B138" s="1" t="s">
        <v>77</v>
      </c>
      <c r="C138" s="1" t="s">
        <v>113</v>
      </c>
      <c r="D138" s="1">
        <f>72+3</f>
        <v>75</v>
      </c>
      <c r="E138">
        <v>316</v>
      </c>
      <c r="F138">
        <v>5.3</v>
      </c>
      <c r="G138">
        <v>28</v>
      </c>
      <c r="H138">
        <v>19</v>
      </c>
      <c r="I138">
        <v>104</v>
      </c>
      <c r="J138">
        <v>7.81</v>
      </c>
      <c r="K138">
        <v>4.68</v>
      </c>
      <c r="L138" s="1">
        <v>-1</v>
      </c>
    </row>
    <row r="139" spans="1:12" x14ac:dyDescent="0.45">
      <c r="A139" s="1" t="s">
        <v>291</v>
      </c>
      <c r="B139" s="1" t="s">
        <v>77</v>
      </c>
      <c r="C139" s="1" t="s">
        <v>96</v>
      </c>
      <c r="D139" s="1">
        <f>72+3</f>
        <v>75</v>
      </c>
      <c r="E139">
        <v>315</v>
      </c>
      <c r="H139">
        <v>44</v>
      </c>
      <c r="L139" s="1">
        <v>181</v>
      </c>
    </row>
    <row r="140" spans="1:12" x14ac:dyDescent="0.45">
      <c r="A140" s="1" t="s">
        <v>292</v>
      </c>
      <c r="B140" s="1" t="s">
        <v>77</v>
      </c>
      <c r="C140" s="1" t="s">
        <v>66</v>
      </c>
      <c r="D140" s="1">
        <f>72+6</f>
        <v>78</v>
      </c>
      <c r="E140">
        <v>315</v>
      </c>
      <c r="L140" s="1">
        <v>96</v>
      </c>
    </row>
    <row r="141" spans="1:12" x14ac:dyDescent="0.45">
      <c r="A141" s="1" t="s">
        <v>293</v>
      </c>
      <c r="B141" s="1" t="s">
        <v>77</v>
      </c>
      <c r="C141" s="1" t="s">
        <v>44</v>
      </c>
      <c r="D141" s="1">
        <f>72+3</f>
        <v>75</v>
      </c>
      <c r="E141">
        <v>344</v>
      </c>
      <c r="H141">
        <v>26</v>
      </c>
      <c r="L141" s="1">
        <v>182</v>
      </c>
    </row>
    <row r="142" spans="1:12" x14ac:dyDescent="0.45">
      <c r="A142" s="1" t="s">
        <v>294</v>
      </c>
      <c r="B142" s="1" t="s">
        <v>77</v>
      </c>
      <c r="C142" s="1" t="s">
        <v>56</v>
      </c>
      <c r="D142" s="1">
        <f>72+7</f>
        <v>79</v>
      </c>
      <c r="E142">
        <v>318</v>
      </c>
      <c r="F142">
        <v>5.0599999999999996</v>
      </c>
      <c r="G142">
        <v>30</v>
      </c>
      <c r="H142">
        <v>26</v>
      </c>
      <c r="I142">
        <v>113</v>
      </c>
      <c r="J142">
        <v>8.01</v>
      </c>
      <c r="K142">
        <v>4.92</v>
      </c>
      <c r="L142" s="1">
        <v>99</v>
      </c>
    </row>
    <row r="143" spans="1:12" x14ac:dyDescent="0.45">
      <c r="A143" s="1" t="s">
        <v>295</v>
      </c>
      <c r="B143" s="1" t="s">
        <v>77</v>
      </c>
      <c r="C143" s="1" t="s">
        <v>86</v>
      </c>
      <c r="D143" s="1">
        <f>72+5</f>
        <v>77</v>
      </c>
      <c r="E143">
        <v>331</v>
      </c>
      <c r="F143">
        <v>5.37</v>
      </c>
      <c r="G143">
        <v>25</v>
      </c>
      <c r="H143">
        <v>22</v>
      </c>
      <c r="I143">
        <v>93</v>
      </c>
      <c r="J143">
        <v>8.17</v>
      </c>
      <c r="K143">
        <v>5.1100000000000003</v>
      </c>
      <c r="L143" s="1">
        <v>106</v>
      </c>
    </row>
    <row r="144" spans="1:12" x14ac:dyDescent="0.45">
      <c r="A144" s="1" t="s">
        <v>296</v>
      </c>
      <c r="B144" s="1" t="s">
        <v>77</v>
      </c>
      <c r="C144" s="1" t="s">
        <v>94</v>
      </c>
      <c r="D144" s="1">
        <f>72+4</f>
        <v>76</v>
      </c>
      <c r="E144">
        <v>306</v>
      </c>
      <c r="F144">
        <v>4.91</v>
      </c>
      <c r="G144">
        <v>29.5</v>
      </c>
      <c r="H144">
        <v>24</v>
      </c>
      <c r="I144">
        <v>110</v>
      </c>
      <c r="J144">
        <v>7.76</v>
      </c>
      <c r="K144">
        <v>4.62</v>
      </c>
      <c r="L144" s="1">
        <v>149</v>
      </c>
    </row>
    <row r="145" spans="1:12" x14ac:dyDescent="0.45">
      <c r="A145" s="1" t="s">
        <v>297</v>
      </c>
      <c r="B145" s="1" t="s">
        <v>77</v>
      </c>
      <c r="C145" s="1" t="s">
        <v>44</v>
      </c>
      <c r="D145" s="1">
        <f>72+3</f>
        <v>75</v>
      </c>
      <c r="E145">
        <v>307</v>
      </c>
      <c r="F145">
        <v>5.08</v>
      </c>
      <c r="G145">
        <v>33</v>
      </c>
      <c r="H145">
        <v>28</v>
      </c>
      <c r="I145">
        <v>113</v>
      </c>
      <c r="J145">
        <v>7.91</v>
      </c>
      <c r="K145">
        <v>4.6399999999999997</v>
      </c>
      <c r="L145" s="1">
        <v>24</v>
      </c>
    </row>
    <row r="146" spans="1:12" x14ac:dyDescent="0.45">
      <c r="A146" s="1" t="s">
        <v>298</v>
      </c>
      <c r="B146" s="1" t="s">
        <v>77</v>
      </c>
      <c r="C146" s="1" t="s">
        <v>44</v>
      </c>
      <c r="D146" s="1">
        <f>72+4</f>
        <v>76</v>
      </c>
      <c r="E146">
        <v>306</v>
      </c>
      <c r="F146">
        <v>5.08</v>
      </c>
      <c r="G146">
        <v>30.5</v>
      </c>
      <c r="H146">
        <v>24</v>
      </c>
      <c r="I146">
        <v>107</v>
      </c>
      <c r="J146">
        <v>7.57</v>
      </c>
      <c r="K146">
        <v>4.6900000000000004</v>
      </c>
      <c r="L146" s="1">
        <v>192</v>
      </c>
    </row>
    <row r="147" spans="1:12" x14ac:dyDescent="0.45">
      <c r="A147" s="1" t="s">
        <v>299</v>
      </c>
      <c r="B147" s="1" t="s">
        <v>77</v>
      </c>
      <c r="C147" s="1" t="s">
        <v>34</v>
      </c>
      <c r="D147" s="1">
        <f>72+4</f>
        <v>76</v>
      </c>
      <c r="E147">
        <v>321</v>
      </c>
      <c r="F147">
        <v>5.24</v>
      </c>
      <c r="G147">
        <v>30</v>
      </c>
      <c r="H147">
        <v>34</v>
      </c>
      <c r="I147">
        <v>107</v>
      </c>
      <c r="J147">
        <v>8.0299999999999994</v>
      </c>
      <c r="K147">
        <v>4.87</v>
      </c>
      <c r="L147" s="1">
        <v>109</v>
      </c>
    </row>
    <row r="148" spans="1:12" x14ac:dyDescent="0.45">
      <c r="A148" s="1" t="s">
        <v>300</v>
      </c>
      <c r="B148" s="1" t="s">
        <v>77</v>
      </c>
      <c r="C148" s="1" t="s">
        <v>35</v>
      </c>
      <c r="D148" s="1">
        <f>72+6</f>
        <v>78</v>
      </c>
      <c r="E148">
        <v>312</v>
      </c>
      <c r="F148">
        <v>5.03</v>
      </c>
      <c r="G148">
        <v>27.5</v>
      </c>
      <c r="H148">
        <v>27</v>
      </c>
      <c r="I148">
        <v>106</v>
      </c>
      <c r="K148">
        <v>5.08</v>
      </c>
      <c r="L148" s="1">
        <v>-1</v>
      </c>
    </row>
    <row r="149" spans="1:12" x14ac:dyDescent="0.45">
      <c r="A149" s="1" t="s">
        <v>301</v>
      </c>
      <c r="B149" s="1" t="s">
        <v>77</v>
      </c>
      <c r="C149" s="1" t="s">
        <v>95</v>
      </c>
      <c r="D149" s="1">
        <f>72+6</f>
        <v>78</v>
      </c>
      <c r="E149">
        <v>317</v>
      </c>
      <c r="F149">
        <v>5.3</v>
      </c>
      <c r="G149">
        <v>26</v>
      </c>
      <c r="I149">
        <v>104</v>
      </c>
      <c r="J149">
        <v>8</v>
      </c>
      <c r="K149">
        <v>4.83</v>
      </c>
      <c r="L149" s="1">
        <v>121</v>
      </c>
    </row>
    <row r="150" spans="1:12" x14ac:dyDescent="0.45">
      <c r="A150" s="1" t="s">
        <v>302</v>
      </c>
      <c r="B150" s="1" t="s">
        <v>77</v>
      </c>
      <c r="C150" s="1" t="s">
        <v>43</v>
      </c>
      <c r="D150" s="1">
        <f>72+4</f>
        <v>76</v>
      </c>
      <c r="E150">
        <v>313</v>
      </c>
      <c r="H150">
        <v>37</v>
      </c>
      <c r="L150" s="1">
        <v>209</v>
      </c>
    </row>
    <row r="151" spans="1:12" x14ac:dyDescent="0.45">
      <c r="A151" s="1" t="s">
        <v>303</v>
      </c>
      <c r="B151" s="1" t="s">
        <v>77</v>
      </c>
      <c r="C151" s="1" t="s">
        <v>74</v>
      </c>
      <c r="D151" s="1">
        <f>72+8</f>
        <v>80</v>
      </c>
      <c r="E151">
        <v>308</v>
      </c>
      <c r="F151">
        <v>5.09</v>
      </c>
      <c r="G151">
        <v>25</v>
      </c>
      <c r="H151">
        <v>21</v>
      </c>
      <c r="I151">
        <v>116</v>
      </c>
      <c r="J151">
        <v>7.77</v>
      </c>
      <c r="K151">
        <v>4.79</v>
      </c>
      <c r="L151" s="1">
        <v>-1</v>
      </c>
    </row>
    <row r="152" spans="1:12" x14ac:dyDescent="0.45">
      <c r="A152" s="1" t="s">
        <v>304</v>
      </c>
      <c r="B152" s="1" t="s">
        <v>77</v>
      </c>
      <c r="C152" s="1" t="s">
        <v>21</v>
      </c>
      <c r="D152" s="1">
        <f>72+5</f>
        <v>77</v>
      </c>
      <c r="E152">
        <v>315</v>
      </c>
      <c r="F152">
        <v>5.22</v>
      </c>
      <c r="G152">
        <v>30.5</v>
      </c>
      <c r="H152">
        <v>21</v>
      </c>
      <c r="I152">
        <v>109</v>
      </c>
      <c r="J152">
        <v>7.58</v>
      </c>
      <c r="K152">
        <v>4.66</v>
      </c>
      <c r="L152" s="1">
        <v>4</v>
      </c>
    </row>
    <row r="153" spans="1:12" x14ac:dyDescent="0.45">
      <c r="A153" s="1" t="s">
        <v>305</v>
      </c>
      <c r="B153" s="1" t="s">
        <v>77</v>
      </c>
      <c r="C153" s="1" t="s">
        <v>37</v>
      </c>
      <c r="D153" s="1">
        <f>72+5</f>
        <v>77</v>
      </c>
      <c r="E153">
        <v>317</v>
      </c>
      <c r="F153">
        <v>5.57</v>
      </c>
      <c r="G153">
        <v>27</v>
      </c>
      <c r="H153">
        <v>23</v>
      </c>
      <c r="I153">
        <v>97</v>
      </c>
      <c r="J153">
        <v>8.07</v>
      </c>
      <c r="K153">
        <v>4.9800000000000004</v>
      </c>
      <c r="L153" s="1">
        <v>-1</v>
      </c>
    </row>
    <row r="154" spans="1:12" x14ac:dyDescent="0.45">
      <c r="A154" s="1" t="s">
        <v>306</v>
      </c>
      <c r="B154" s="1" t="s">
        <v>77</v>
      </c>
      <c r="C154" s="1" t="s">
        <v>38</v>
      </c>
      <c r="D154" s="1">
        <f>72+5</f>
        <v>77</v>
      </c>
      <c r="E154">
        <v>308</v>
      </c>
      <c r="L154" s="1">
        <v>210</v>
      </c>
    </row>
    <row r="155" spans="1:12" x14ac:dyDescent="0.45">
      <c r="A155" s="1" t="s">
        <v>307</v>
      </c>
      <c r="B155" s="1" t="s">
        <v>77</v>
      </c>
      <c r="C155" s="1" t="s">
        <v>86</v>
      </c>
      <c r="D155" s="1">
        <f>72+2</f>
        <v>74</v>
      </c>
      <c r="E155">
        <v>304</v>
      </c>
      <c r="F155">
        <v>5.23</v>
      </c>
      <c r="G155">
        <v>25.5</v>
      </c>
      <c r="H155">
        <v>23</v>
      </c>
      <c r="I155">
        <v>102</v>
      </c>
      <c r="J155">
        <v>7.88</v>
      </c>
      <c r="K155">
        <v>4.76</v>
      </c>
      <c r="L155" s="1">
        <v>-1</v>
      </c>
    </row>
    <row r="156" spans="1:12" x14ac:dyDescent="0.45">
      <c r="A156" s="1" t="s">
        <v>308</v>
      </c>
      <c r="B156" s="1" t="s">
        <v>77</v>
      </c>
      <c r="C156" s="1" t="s">
        <v>22</v>
      </c>
      <c r="D156" s="1">
        <f>72+4</f>
        <v>76</v>
      </c>
      <c r="E156">
        <v>312</v>
      </c>
      <c r="F156">
        <v>5.05</v>
      </c>
      <c r="G156">
        <v>34.5</v>
      </c>
      <c r="I156">
        <v>113</v>
      </c>
      <c r="K156">
        <v>4.84</v>
      </c>
      <c r="L156" s="1">
        <v>10</v>
      </c>
    </row>
    <row r="157" spans="1:12" x14ac:dyDescent="0.45">
      <c r="A157" s="1" t="s">
        <v>309</v>
      </c>
      <c r="B157" s="1" t="s">
        <v>77</v>
      </c>
      <c r="C157" s="1" t="s">
        <v>21</v>
      </c>
      <c r="D157" s="1">
        <f>72+6</f>
        <v>78</v>
      </c>
      <c r="E157">
        <v>350</v>
      </c>
      <c r="F157">
        <v>5.32</v>
      </c>
      <c r="G157">
        <v>29</v>
      </c>
      <c r="H157">
        <v>26</v>
      </c>
      <c r="I157">
        <v>110</v>
      </c>
      <c r="J157">
        <v>8.26</v>
      </c>
      <c r="K157">
        <v>5.07</v>
      </c>
      <c r="L157" s="1">
        <v>29</v>
      </c>
    </row>
    <row r="158" spans="1:12" x14ac:dyDescent="0.45">
      <c r="A158" s="1" t="s">
        <v>310</v>
      </c>
      <c r="B158" s="1" t="s">
        <v>77</v>
      </c>
      <c r="C158" s="1" t="s">
        <v>48</v>
      </c>
      <c r="D158" s="1">
        <f>72+5</f>
        <v>77</v>
      </c>
      <c r="E158">
        <v>320</v>
      </c>
      <c r="F158">
        <v>4.8499999999999996</v>
      </c>
      <c r="G158">
        <v>36.5</v>
      </c>
      <c r="H158">
        <v>24</v>
      </c>
      <c r="I158">
        <v>121</v>
      </c>
      <c r="J158">
        <v>7.65</v>
      </c>
      <c r="K158">
        <v>4.68</v>
      </c>
      <c r="L158" s="1">
        <v>13</v>
      </c>
    </row>
    <row r="159" spans="1:12" x14ac:dyDescent="0.45">
      <c r="A159" s="1" t="s">
        <v>311</v>
      </c>
      <c r="B159" s="1" t="s">
        <v>77</v>
      </c>
      <c r="C159" s="1" t="s">
        <v>35</v>
      </c>
      <c r="D159" s="1">
        <f>72+4</f>
        <v>76</v>
      </c>
      <c r="E159">
        <v>314</v>
      </c>
      <c r="F159">
        <v>5.28</v>
      </c>
      <c r="G159">
        <v>29.5</v>
      </c>
      <c r="H159">
        <v>27</v>
      </c>
      <c r="I159">
        <v>105</v>
      </c>
      <c r="J159">
        <v>7.9</v>
      </c>
      <c r="K159">
        <v>4.83</v>
      </c>
      <c r="L159" s="1">
        <v>236</v>
      </c>
    </row>
    <row r="160" spans="1:12" x14ac:dyDescent="0.45">
      <c r="A160" s="1" t="s">
        <v>312</v>
      </c>
      <c r="B160" s="1" t="s">
        <v>77</v>
      </c>
      <c r="C160" s="1" t="s">
        <v>117</v>
      </c>
      <c r="D160" s="1">
        <f>72+6</f>
        <v>78</v>
      </c>
      <c r="E160">
        <v>314</v>
      </c>
      <c r="F160">
        <v>5.49</v>
      </c>
      <c r="G160">
        <v>29</v>
      </c>
      <c r="H160">
        <v>15</v>
      </c>
      <c r="I160">
        <v>105</v>
      </c>
      <c r="J160">
        <v>7</v>
      </c>
      <c r="K160">
        <v>5.0999999999999996</v>
      </c>
      <c r="L160" s="1">
        <v>-1</v>
      </c>
    </row>
    <row r="161" spans="1:12" x14ac:dyDescent="0.45">
      <c r="A161" s="1" t="s">
        <v>313</v>
      </c>
      <c r="B161" s="1" t="s">
        <v>77</v>
      </c>
      <c r="C161" s="1" t="s">
        <v>103</v>
      </c>
      <c r="D161" s="1">
        <f>72+3</f>
        <v>75</v>
      </c>
      <c r="E161">
        <v>307</v>
      </c>
      <c r="F161">
        <v>5.19</v>
      </c>
      <c r="G161">
        <v>30</v>
      </c>
      <c r="H161">
        <v>28</v>
      </c>
      <c r="I161">
        <v>100</v>
      </c>
      <c r="J161">
        <v>8.15</v>
      </c>
      <c r="K161">
        <v>4.91</v>
      </c>
      <c r="L161" s="1">
        <v>-1</v>
      </c>
    </row>
    <row r="162" spans="1:12" x14ac:dyDescent="0.45">
      <c r="A162" s="1" t="s">
        <v>314</v>
      </c>
      <c r="B162" s="1" t="s">
        <v>77</v>
      </c>
      <c r="C162" s="1" t="s">
        <v>75</v>
      </c>
      <c r="D162" s="1">
        <f>72+7</f>
        <v>79</v>
      </c>
      <c r="E162">
        <v>308</v>
      </c>
      <c r="F162">
        <v>5.2</v>
      </c>
      <c r="G162">
        <v>27.5</v>
      </c>
      <c r="H162">
        <v>28</v>
      </c>
      <c r="I162">
        <v>106</v>
      </c>
      <c r="J162">
        <v>7.77</v>
      </c>
      <c r="K162">
        <v>4.7</v>
      </c>
      <c r="L162" s="1">
        <v>138</v>
      </c>
    </row>
    <row r="163" spans="1:12" x14ac:dyDescent="0.45">
      <c r="A163" s="1" t="s">
        <v>315</v>
      </c>
      <c r="B163" s="1" t="s">
        <v>77</v>
      </c>
      <c r="C163" s="1" t="s">
        <v>11</v>
      </c>
      <c r="D163" s="1">
        <f>72+5</f>
        <v>77</v>
      </c>
      <c r="E163">
        <v>325</v>
      </c>
      <c r="F163">
        <v>5.32</v>
      </c>
      <c r="G163">
        <v>31</v>
      </c>
      <c r="H163">
        <v>24</v>
      </c>
      <c r="I163">
        <v>100</v>
      </c>
      <c r="J163">
        <v>7.69</v>
      </c>
      <c r="K163">
        <v>4.8899999999999997</v>
      </c>
      <c r="L163" s="1">
        <v>48</v>
      </c>
    </row>
    <row r="164" spans="1:12" x14ac:dyDescent="0.45">
      <c r="A164" s="1" t="s">
        <v>118</v>
      </c>
      <c r="B164" s="1" t="s">
        <v>77</v>
      </c>
      <c r="C164" s="1" t="s">
        <v>48</v>
      </c>
      <c r="D164" s="1">
        <f>72+1</f>
        <v>73</v>
      </c>
      <c r="E164">
        <v>298</v>
      </c>
      <c r="F164">
        <v>5.12</v>
      </c>
      <c r="G164">
        <v>27.5</v>
      </c>
      <c r="H164">
        <v>22</v>
      </c>
      <c r="I164">
        <v>103</v>
      </c>
      <c r="J164">
        <v>7.5</v>
      </c>
      <c r="K164">
        <v>4.7</v>
      </c>
      <c r="L164" s="1">
        <v>-1</v>
      </c>
    </row>
    <row r="165" spans="1:12" x14ac:dyDescent="0.45">
      <c r="A165" s="1" t="s">
        <v>119</v>
      </c>
      <c r="B165" s="1" t="s">
        <v>77</v>
      </c>
      <c r="C165" s="1" t="s">
        <v>47</v>
      </c>
      <c r="D165" s="1">
        <f>72+3</f>
        <v>75</v>
      </c>
      <c r="E165">
        <v>324</v>
      </c>
      <c r="F165">
        <v>5.55</v>
      </c>
      <c r="G165">
        <v>24.5</v>
      </c>
      <c r="H165">
        <v>25</v>
      </c>
      <c r="I165">
        <v>101</v>
      </c>
      <c r="J165">
        <v>8.2100000000000009</v>
      </c>
      <c r="K165">
        <v>4.93</v>
      </c>
      <c r="L165" s="1">
        <v>-1</v>
      </c>
    </row>
    <row r="166" spans="1:12" x14ac:dyDescent="0.45">
      <c r="A166" s="1" t="s">
        <v>316</v>
      </c>
      <c r="B166" s="1" t="s">
        <v>77</v>
      </c>
      <c r="C166" s="1" t="s">
        <v>79</v>
      </c>
      <c r="D166" s="1">
        <f>72+5</f>
        <v>77</v>
      </c>
      <c r="E166">
        <v>322</v>
      </c>
      <c r="F166">
        <v>5.12</v>
      </c>
      <c r="G166">
        <v>31</v>
      </c>
      <c r="L166" s="1">
        <v>151</v>
      </c>
    </row>
    <row r="167" spans="1:12" x14ac:dyDescent="0.45">
      <c r="A167" s="1" t="s">
        <v>317</v>
      </c>
      <c r="B167" s="1" t="s">
        <v>77</v>
      </c>
      <c r="C167" s="1" t="s">
        <v>22</v>
      </c>
      <c r="D167" s="1">
        <f>72+3</f>
        <v>75</v>
      </c>
      <c r="E167">
        <v>344</v>
      </c>
      <c r="G167">
        <v>27</v>
      </c>
      <c r="L167" s="1">
        <v>193</v>
      </c>
    </row>
    <row r="168" spans="1:12" x14ac:dyDescent="0.45">
      <c r="A168" s="1" t="s">
        <v>121</v>
      </c>
      <c r="B168" s="1" t="s">
        <v>77</v>
      </c>
      <c r="C168" s="1" t="s">
        <v>93</v>
      </c>
      <c r="D168" s="1">
        <f>72+2</f>
        <v>74</v>
      </c>
      <c r="E168">
        <v>300</v>
      </c>
      <c r="G168">
        <v>32.5</v>
      </c>
      <c r="H168">
        <v>11</v>
      </c>
      <c r="I168">
        <v>121</v>
      </c>
      <c r="J168">
        <v>6.77</v>
      </c>
      <c r="K168">
        <v>4.3</v>
      </c>
      <c r="L168" s="1">
        <v>-1</v>
      </c>
    </row>
    <row r="169" spans="1:12" x14ac:dyDescent="0.45">
      <c r="A169" s="1" t="s">
        <v>123</v>
      </c>
      <c r="B169" s="1" t="s">
        <v>77</v>
      </c>
      <c r="C169" s="1" t="s">
        <v>102</v>
      </c>
      <c r="D169" s="1">
        <f>72+5</f>
        <v>77</v>
      </c>
      <c r="E169">
        <v>303</v>
      </c>
      <c r="F169">
        <v>5.49</v>
      </c>
      <c r="G169">
        <v>26</v>
      </c>
      <c r="H169">
        <v>22</v>
      </c>
      <c r="I169">
        <v>100</v>
      </c>
      <c r="J169">
        <v>8.2200000000000006</v>
      </c>
      <c r="K169">
        <v>4.97</v>
      </c>
      <c r="L169" s="1">
        <v>-1</v>
      </c>
    </row>
    <row r="170" spans="1:12" x14ac:dyDescent="0.45">
      <c r="A170" s="1" t="s">
        <v>124</v>
      </c>
      <c r="B170" s="1" t="s">
        <v>77</v>
      </c>
      <c r="C170" s="1" t="s">
        <v>115</v>
      </c>
      <c r="D170" s="1">
        <f>72+4</f>
        <v>76</v>
      </c>
      <c r="E170">
        <v>336</v>
      </c>
      <c r="F170">
        <v>5.62</v>
      </c>
      <c r="G170">
        <v>22</v>
      </c>
      <c r="I170">
        <v>93</v>
      </c>
      <c r="J170">
        <v>8.34</v>
      </c>
      <c r="K170">
        <v>5.15</v>
      </c>
      <c r="L170" s="1">
        <v>-1</v>
      </c>
    </row>
    <row r="171" spans="1:12" x14ac:dyDescent="0.45">
      <c r="A171" s="1" t="s">
        <v>318</v>
      </c>
      <c r="B171" s="1" t="s">
        <v>29</v>
      </c>
      <c r="C171" s="1" t="s">
        <v>34</v>
      </c>
      <c r="D171" s="1">
        <f>72+4</f>
        <v>76</v>
      </c>
      <c r="E171">
        <v>317</v>
      </c>
      <c r="L171" s="1">
        <v>46</v>
      </c>
    </row>
    <row r="172" spans="1:12" x14ac:dyDescent="0.45">
      <c r="A172" s="1" t="s">
        <v>319</v>
      </c>
      <c r="B172" s="1" t="s">
        <v>77</v>
      </c>
      <c r="C172" s="1" t="s">
        <v>91</v>
      </c>
      <c r="D172" s="1" t="s">
        <v>12</v>
      </c>
      <c r="G172">
        <v>34</v>
      </c>
      <c r="H172">
        <v>30</v>
      </c>
      <c r="I172">
        <v>124</v>
      </c>
      <c r="L172" s="1">
        <v>70</v>
      </c>
    </row>
    <row r="173" spans="1:12" x14ac:dyDescent="0.45">
      <c r="A173" s="1" t="s">
        <v>320</v>
      </c>
      <c r="B173" s="1" t="s">
        <v>77</v>
      </c>
      <c r="C173" s="1" t="s">
        <v>21</v>
      </c>
      <c r="D173" s="1">
        <f>72+6</f>
        <v>78</v>
      </c>
      <c r="E173">
        <v>343</v>
      </c>
      <c r="F173">
        <v>5.05</v>
      </c>
      <c r="G173">
        <v>28</v>
      </c>
      <c r="H173">
        <v>30</v>
      </c>
      <c r="I173">
        <v>102</v>
      </c>
      <c r="K173">
        <v>4.88</v>
      </c>
      <c r="L173" s="1">
        <v>94</v>
      </c>
    </row>
    <row r="174" spans="1:12" x14ac:dyDescent="0.45">
      <c r="A174" s="1" t="s">
        <v>321</v>
      </c>
      <c r="B174" s="1" t="s">
        <v>77</v>
      </c>
      <c r="C174" s="1" t="s">
        <v>52</v>
      </c>
      <c r="D174" s="1">
        <f>72+5</f>
        <v>77</v>
      </c>
      <c r="E174">
        <v>314</v>
      </c>
      <c r="F174">
        <v>4.87</v>
      </c>
      <c r="G174">
        <v>30</v>
      </c>
      <c r="H174">
        <v>36</v>
      </c>
      <c r="I174">
        <v>117</v>
      </c>
      <c r="J174">
        <v>7.35</v>
      </c>
      <c r="K174">
        <v>4.3899999999999997</v>
      </c>
      <c r="L174" s="1">
        <v>51</v>
      </c>
    </row>
    <row r="175" spans="1:12" x14ac:dyDescent="0.45">
      <c r="A175" s="1" t="s">
        <v>126</v>
      </c>
      <c r="B175" s="1" t="s">
        <v>77</v>
      </c>
      <c r="C175" s="1" t="s">
        <v>43</v>
      </c>
      <c r="D175" s="1">
        <f>72+2</f>
        <v>74</v>
      </c>
      <c r="E175">
        <v>307</v>
      </c>
      <c r="F175">
        <v>5.25</v>
      </c>
      <c r="G175">
        <v>27</v>
      </c>
      <c r="H175">
        <v>31</v>
      </c>
      <c r="I175">
        <v>102</v>
      </c>
      <c r="J175">
        <v>7.63</v>
      </c>
      <c r="K175">
        <v>4.68</v>
      </c>
      <c r="L175" s="1">
        <v>-1</v>
      </c>
    </row>
    <row r="176" spans="1:12" x14ac:dyDescent="0.45">
      <c r="A176" s="1" t="s">
        <v>127</v>
      </c>
      <c r="B176" s="1" t="s">
        <v>77</v>
      </c>
      <c r="C176" s="1" t="s">
        <v>76</v>
      </c>
      <c r="D176" s="1">
        <f>72+5</f>
        <v>77</v>
      </c>
      <c r="E176">
        <v>316</v>
      </c>
      <c r="F176">
        <v>5.45</v>
      </c>
      <c r="G176">
        <v>24</v>
      </c>
      <c r="H176">
        <v>15</v>
      </c>
      <c r="I176">
        <v>102</v>
      </c>
      <c r="J176">
        <v>8.07</v>
      </c>
      <c r="K176">
        <v>4.84</v>
      </c>
      <c r="L176" s="1">
        <v>-1</v>
      </c>
    </row>
    <row r="177" spans="1:12" x14ac:dyDescent="0.45">
      <c r="A177" s="1" t="s">
        <v>322</v>
      </c>
      <c r="B177" s="1" t="s">
        <v>15</v>
      </c>
      <c r="C177" s="1" t="s">
        <v>30</v>
      </c>
      <c r="D177" s="1">
        <f>72+3</f>
        <v>75</v>
      </c>
      <c r="E177">
        <v>299</v>
      </c>
      <c r="F177">
        <v>5.1100000000000003</v>
      </c>
      <c r="G177">
        <v>33</v>
      </c>
      <c r="H177">
        <v>33</v>
      </c>
      <c r="I177">
        <v>109</v>
      </c>
      <c r="J177">
        <v>7.33</v>
      </c>
      <c r="K177">
        <v>4.5199999999999996</v>
      </c>
      <c r="L177" s="1">
        <v>114</v>
      </c>
    </row>
    <row r="178" spans="1:12" x14ac:dyDescent="0.45">
      <c r="A178" s="1" t="s">
        <v>323</v>
      </c>
      <c r="B178" s="1" t="s">
        <v>77</v>
      </c>
      <c r="C178" s="1" t="s">
        <v>120</v>
      </c>
      <c r="D178" s="1">
        <f>72+3</f>
        <v>75</v>
      </c>
      <c r="E178">
        <v>315</v>
      </c>
      <c r="H178">
        <v>25</v>
      </c>
      <c r="L178" s="1">
        <v>86</v>
      </c>
    </row>
    <row r="179" spans="1:12" x14ac:dyDescent="0.45">
      <c r="A179" s="1" t="s">
        <v>128</v>
      </c>
      <c r="B179" s="1" t="s">
        <v>77</v>
      </c>
      <c r="C179" s="1" t="s">
        <v>42</v>
      </c>
      <c r="D179" s="1">
        <f>72+4</f>
        <v>76</v>
      </c>
      <c r="E179">
        <v>312</v>
      </c>
      <c r="F179">
        <v>5.32</v>
      </c>
      <c r="G179">
        <v>27</v>
      </c>
      <c r="H179">
        <v>19</v>
      </c>
      <c r="I179">
        <v>106</v>
      </c>
      <c r="J179">
        <v>7.64</v>
      </c>
      <c r="K179">
        <v>4.8499999999999996</v>
      </c>
      <c r="L179" s="1">
        <v>-1</v>
      </c>
    </row>
    <row r="180" spans="1:12" x14ac:dyDescent="0.45">
      <c r="A180" s="1" t="s">
        <v>324</v>
      </c>
      <c r="B180" s="1" t="s">
        <v>77</v>
      </c>
      <c r="C180" s="1" t="s">
        <v>18</v>
      </c>
      <c r="D180" s="1">
        <f>72+6</f>
        <v>78</v>
      </c>
      <c r="E180">
        <v>321</v>
      </c>
      <c r="F180">
        <v>5.42</v>
      </c>
      <c r="G180">
        <v>24.5</v>
      </c>
      <c r="H180">
        <v>18</v>
      </c>
      <c r="I180">
        <v>104</v>
      </c>
      <c r="J180">
        <v>8.82</v>
      </c>
      <c r="K180">
        <v>4.87</v>
      </c>
      <c r="L180" s="1">
        <v>-1</v>
      </c>
    </row>
    <row r="181" spans="1:12" x14ac:dyDescent="0.45">
      <c r="A181" s="1" t="s">
        <v>325</v>
      </c>
      <c r="B181" s="1" t="s">
        <v>77</v>
      </c>
      <c r="C181" s="1" t="s">
        <v>11</v>
      </c>
      <c r="D181" s="1">
        <f>72+6</f>
        <v>78</v>
      </c>
      <c r="E181">
        <v>306</v>
      </c>
      <c r="G181">
        <v>26.5</v>
      </c>
      <c r="H181">
        <v>33</v>
      </c>
      <c r="I181">
        <v>105</v>
      </c>
      <c r="J181">
        <v>7.53</v>
      </c>
      <c r="K181">
        <v>4.58</v>
      </c>
      <c r="L181" s="1">
        <v>42</v>
      </c>
    </row>
    <row r="182" spans="1:12" x14ac:dyDescent="0.45">
      <c r="A182" s="1" t="s">
        <v>130</v>
      </c>
      <c r="B182" s="1" t="s">
        <v>77</v>
      </c>
      <c r="C182" s="1" t="s">
        <v>31</v>
      </c>
      <c r="D182" s="1">
        <f>72+5</f>
        <v>77</v>
      </c>
      <c r="E182">
        <v>311</v>
      </c>
      <c r="F182">
        <v>5.2</v>
      </c>
      <c r="G182">
        <v>33</v>
      </c>
      <c r="H182">
        <v>28</v>
      </c>
      <c r="I182">
        <v>105</v>
      </c>
      <c r="J182">
        <v>7.14</v>
      </c>
      <c r="K182">
        <v>4.8</v>
      </c>
      <c r="L182" s="1">
        <v>-1</v>
      </c>
    </row>
    <row r="183" spans="1:12" x14ac:dyDescent="0.45">
      <c r="A183" s="1" t="s">
        <v>326</v>
      </c>
      <c r="B183" s="1" t="s">
        <v>77</v>
      </c>
      <c r="C183" s="1" t="s">
        <v>32</v>
      </c>
      <c r="D183" s="1">
        <f>72+8</f>
        <v>80</v>
      </c>
      <c r="E183">
        <v>307</v>
      </c>
      <c r="F183">
        <v>5.14</v>
      </c>
      <c r="G183">
        <v>27.5</v>
      </c>
      <c r="H183">
        <v>25</v>
      </c>
      <c r="I183">
        <v>103</v>
      </c>
      <c r="J183">
        <v>7.47</v>
      </c>
      <c r="K183">
        <v>4.6500000000000004</v>
      </c>
      <c r="L183" s="1">
        <v>208</v>
      </c>
    </row>
    <row r="184" spans="1:12" x14ac:dyDescent="0.45">
      <c r="A184" s="1" t="s">
        <v>327</v>
      </c>
      <c r="B184" s="1" t="s">
        <v>77</v>
      </c>
      <c r="C184" s="1" t="s">
        <v>131</v>
      </c>
      <c r="D184" s="1">
        <f>72+6</f>
        <v>78</v>
      </c>
      <c r="E184">
        <v>309</v>
      </c>
      <c r="F184">
        <v>5.37</v>
      </c>
      <c r="G184">
        <v>31</v>
      </c>
      <c r="H184">
        <v>24</v>
      </c>
      <c r="I184">
        <v>115</v>
      </c>
      <c r="J184">
        <v>7.77</v>
      </c>
      <c r="K184">
        <v>4.53</v>
      </c>
      <c r="L184" s="1">
        <v>248</v>
      </c>
    </row>
    <row r="185" spans="1:12" x14ac:dyDescent="0.45">
      <c r="A185" s="1" t="s">
        <v>328</v>
      </c>
      <c r="B185" s="1" t="s">
        <v>77</v>
      </c>
      <c r="C185" s="1" t="s">
        <v>129</v>
      </c>
      <c r="D185" s="1">
        <f>72+1</f>
        <v>73</v>
      </c>
      <c r="E185">
        <v>305</v>
      </c>
      <c r="F185">
        <v>4.8899999999999997</v>
      </c>
      <c r="G185">
        <v>35.5</v>
      </c>
      <c r="H185">
        <v>25</v>
      </c>
      <c r="I185">
        <v>119</v>
      </c>
      <c r="J185">
        <v>7.79</v>
      </c>
      <c r="K185">
        <v>4.67</v>
      </c>
      <c r="L185" s="1">
        <v>87</v>
      </c>
    </row>
    <row r="186" spans="1:12" x14ac:dyDescent="0.45">
      <c r="A186" s="1" t="s">
        <v>329</v>
      </c>
      <c r="B186" s="1" t="s">
        <v>77</v>
      </c>
      <c r="C186" s="1" t="s">
        <v>11</v>
      </c>
      <c r="D186" s="1">
        <f>72+4</f>
        <v>76</v>
      </c>
      <c r="E186">
        <v>306</v>
      </c>
      <c r="F186">
        <v>5.2</v>
      </c>
      <c r="G186">
        <v>27.5</v>
      </c>
      <c r="H186">
        <v>32</v>
      </c>
      <c r="I186">
        <v>104</v>
      </c>
      <c r="J186">
        <v>7.58</v>
      </c>
      <c r="K186">
        <v>4.63</v>
      </c>
      <c r="L186" s="1">
        <v>95</v>
      </c>
    </row>
    <row r="187" spans="1:12" x14ac:dyDescent="0.45">
      <c r="A187" s="1" t="s">
        <v>132</v>
      </c>
      <c r="B187" s="1" t="s">
        <v>77</v>
      </c>
      <c r="C187" s="1" t="s">
        <v>133</v>
      </c>
      <c r="D187" s="1">
        <f>72+0</f>
        <v>72</v>
      </c>
      <c r="E187">
        <v>238</v>
      </c>
      <c r="F187">
        <v>5.15</v>
      </c>
      <c r="G187">
        <v>29.5</v>
      </c>
      <c r="H187">
        <v>15</v>
      </c>
      <c r="I187">
        <v>108</v>
      </c>
      <c r="J187">
        <v>7.37</v>
      </c>
      <c r="K187">
        <v>4.68</v>
      </c>
      <c r="L187" s="1">
        <v>-1</v>
      </c>
    </row>
    <row r="188" spans="1:12" x14ac:dyDescent="0.45">
      <c r="A188" s="1" t="s">
        <v>330</v>
      </c>
      <c r="B188" s="1" t="s">
        <v>77</v>
      </c>
      <c r="C188" s="1" t="s">
        <v>63</v>
      </c>
      <c r="D188" s="1">
        <f>72+3</f>
        <v>75</v>
      </c>
      <c r="E188">
        <v>310</v>
      </c>
      <c r="F188">
        <v>5.46</v>
      </c>
      <c r="G188">
        <v>27</v>
      </c>
      <c r="H188">
        <v>26</v>
      </c>
      <c r="I188">
        <v>97</v>
      </c>
      <c r="J188">
        <v>8.06</v>
      </c>
      <c r="K188">
        <v>5.03</v>
      </c>
      <c r="L188" s="1">
        <v>-1</v>
      </c>
    </row>
    <row r="189" spans="1:12" x14ac:dyDescent="0.45">
      <c r="A189" s="1" t="s">
        <v>134</v>
      </c>
      <c r="B189" s="1" t="s">
        <v>77</v>
      </c>
      <c r="C189" s="1" t="s">
        <v>114</v>
      </c>
      <c r="D189" s="1">
        <f>72+6</f>
        <v>78</v>
      </c>
      <c r="E189">
        <v>300</v>
      </c>
      <c r="F189">
        <v>5.05</v>
      </c>
      <c r="G189">
        <v>30.5</v>
      </c>
      <c r="H189">
        <v>16</v>
      </c>
      <c r="I189">
        <v>105</v>
      </c>
      <c r="J189">
        <v>7.7</v>
      </c>
      <c r="K189">
        <v>4.54</v>
      </c>
      <c r="L189" s="1">
        <v>-1</v>
      </c>
    </row>
    <row r="190" spans="1:12" x14ac:dyDescent="0.45">
      <c r="A190" s="1" t="s">
        <v>331</v>
      </c>
      <c r="B190" s="1" t="s">
        <v>77</v>
      </c>
      <c r="C190" s="1" t="s">
        <v>32</v>
      </c>
      <c r="D190" s="1">
        <f>72+4</f>
        <v>76</v>
      </c>
      <c r="E190">
        <v>310</v>
      </c>
      <c r="F190">
        <v>5.5</v>
      </c>
      <c r="G190">
        <v>26</v>
      </c>
      <c r="H190">
        <v>21</v>
      </c>
      <c r="I190">
        <v>105</v>
      </c>
      <c r="J190">
        <v>7.66</v>
      </c>
      <c r="K190">
        <v>4.6900000000000004</v>
      </c>
      <c r="L190" s="1">
        <v>-1</v>
      </c>
    </row>
    <row r="191" spans="1:12" x14ac:dyDescent="0.45">
      <c r="A191" s="1" t="s">
        <v>135</v>
      </c>
      <c r="B191" s="1" t="s">
        <v>77</v>
      </c>
      <c r="C191" s="1" t="s">
        <v>92</v>
      </c>
      <c r="D191" s="1">
        <f>72+7</f>
        <v>79</v>
      </c>
      <c r="E191">
        <v>300</v>
      </c>
      <c r="G191">
        <v>27</v>
      </c>
      <c r="H191">
        <v>29</v>
      </c>
      <c r="I191">
        <v>107</v>
      </c>
      <c r="J191">
        <v>7.76</v>
      </c>
      <c r="K191">
        <v>4.8099999999999996</v>
      </c>
      <c r="L191" s="1">
        <v>-1</v>
      </c>
    </row>
    <row r="192" spans="1:12" x14ac:dyDescent="0.45">
      <c r="A192" s="1" t="s">
        <v>332</v>
      </c>
      <c r="B192" s="1" t="s">
        <v>77</v>
      </c>
      <c r="C192" s="1" t="s">
        <v>21</v>
      </c>
      <c r="D192" s="1">
        <f>72+3</f>
        <v>75</v>
      </c>
      <c r="E192">
        <v>319</v>
      </c>
      <c r="F192">
        <v>5.5</v>
      </c>
      <c r="L192" s="1">
        <v>190</v>
      </c>
    </row>
    <row r="193" spans="1:12" x14ac:dyDescent="0.45">
      <c r="A193" s="1" t="s">
        <v>333</v>
      </c>
      <c r="B193" s="1" t="s">
        <v>77</v>
      </c>
      <c r="C193" s="1" t="s">
        <v>114</v>
      </c>
      <c r="D193" s="1">
        <f>72+4</f>
        <v>76</v>
      </c>
      <c r="E193">
        <v>313</v>
      </c>
      <c r="F193">
        <v>5.27</v>
      </c>
      <c r="G193">
        <v>28.5</v>
      </c>
      <c r="H193">
        <v>22</v>
      </c>
      <c r="I193">
        <v>98</v>
      </c>
      <c r="J193">
        <v>8.0500000000000007</v>
      </c>
      <c r="K193">
        <v>4.79</v>
      </c>
      <c r="L193" s="1">
        <v>110</v>
      </c>
    </row>
    <row r="194" spans="1:12" x14ac:dyDescent="0.45">
      <c r="A194" s="1" t="s">
        <v>334</v>
      </c>
      <c r="B194" s="1" t="s">
        <v>77</v>
      </c>
      <c r="C194" s="1" t="s">
        <v>18</v>
      </c>
      <c r="D194" s="1">
        <f>72+4</f>
        <v>76</v>
      </c>
      <c r="E194">
        <v>302</v>
      </c>
      <c r="F194">
        <v>5.1100000000000003</v>
      </c>
      <c r="G194">
        <v>33</v>
      </c>
      <c r="H194">
        <v>29</v>
      </c>
      <c r="I194">
        <v>112</v>
      </c>
      <c r="J194">
        <v>7.5</v>
      </c>
      <c r="K194">
        <v>4.49</v>
      </c>
      <c r="L194" s="1">
        <v>63</v>
      </c>
    </row>
    <row r="195" spans="1:12" x14ac:dyDescent="0.45">
      <c r="A195" s="1" t="s">
        <v>335</v>
      </c>
      <c r="B195" s="1" t="s">
        <v>77</v>
      </c>
      <c r="C195" s="1" t="s">
        <v>67</v>
      </c>
      <c r="D195" s="1" t="s">
        <v>12</v>
      </c>
      <c r="E195">
        <v>321</v>
      </c>
      <c r="F195">
        <v>4.95</v>
      </c>
      <c r="H195">
        <v>36</v>
      </c>
      <c r="L195" s="1">
        <v>-1</v>
      </c>
    </row>
    <row r="196" spans="1:12" x14ac:dyDescent="0.45">
      <c r="A196" s="1" t="s">
        <v>336</v>
      </c>
      <c r="B196" s="1" t="s">
        <v>77</v>
      </c>
      <c r="C196" s="1" t="s">
        <v>48</v>
      </c>
      <c r="D196" s="1">
        <f>72+6</f>
        <v>78</v>
      </c>
      <c r="E196">
        <v>321</v>
      </c>
      <c r="F196">
        <v>5.2</v>
      </c>
      <c r="G196">
        <v>25</v>
      </c>
      <c r="I196">
        <v>103</v>
      </c>
      <c r="J196">
        <v>7.7</v>
      </c>
      <c r="L196" s="1">
        <v>-1</v>
      </c>
    </row>
    <row r="197" spans="1:12" x14ac:dyDescent="0.45">
      <c r="A197" s="1" t="s">
        <v>337</v>
      </c>
      <c r="B197" s="1" t="s">
        <v>15</v>
      </c>
      <c r="C197" s="1" t="s">
        <v>95</v>
      </c>
      <c r="D197" s="1">
        <f>72+1</f>
        <v>73</v>
      </c>
      <c r="E197">
        <v>293</v>
      </c>
      <c r="G197">
        <v>31</v>
      </c>
      <c r="L197" s="1">
        <v>-1</v>
      </c>
    </row>
    <row r="198" spans="1:12" x14ac:dyDescent="0.45">
      <c r="A198" s="1" t="s">
        <v>338</v>
      </c>
      <c r="B198" s="1" t="s">
        <v>77</v>
      </c>
      <c r="C198" s="1" t="s">
        <v>31</v>
      </c>
      <c r="D198" s="1">
        <f>72+5</f>
        <v>77</v>
      </c>
      <c r="E198">
        <v>298</v>
      </c>
      <c r="G198">
        <v>30.5</v>
      </c>
      <c r="H198">
        <v>25</v>
      </c>
      <c r="I198">
        <v>112</v>
      </c>
      <c r="J198">
        <v>7.5</v>
      </c>
      <c r="K198">
        <v>4.51</v>
      </c>
      <c r="L198" s="1">
        <v>159</v>
      </c>
    </row>
    <row r="199" spans="1:12" x14ac:dyDescent="0.45">
      <c r="A199" s="1" t="s">
        <v>339</v>
      </c>
      <c r="B199" s="1" t="s">
        <v>77</v>
      </c>
      <c r="C199" s="1" t="s">
        <v>122</v>
      </c>
      <c r="D199" s="1">
        <f>72+5</f>
        <v>77</v>
      </c>
      <c r="E199">
        <v>317</v>
      </c>
      <c r="F199">
        <v>5.01</v>
      </c>
      <c r="G199">
        <v>32.5</v>
      </c>
      <c r="H199">
        <v>36</v>
      </c>
      <c r="I199">
        <v>106</v>
      </c>
      <c r="J199">
        <v>7.72</v>
      </c>
      <c r="K199">
        <v>4.66</v>
      </c>
      <c r="L199" s="1">
        <v>39</v>
      </c>
    </row>
    <row r="200" spans="1:12" x14ac:dyDescent="0.45">
      <c r="A200" s="1" t="s">
        <v>136</v>
      </c>
      <c r="B200" s="1" t="s">
        <v>77</v>
      </c>
      <c r="C200" s="1" t="s">
        <v>125</v>
      </c>
      <c r="D200" s="1">
        <f>72+2</f>
        <v>74</v>
      </c>
      <c r="E200">
        <v>289</v>
      </c>
      <c r="F200">
        <v>5.37</v>
      </c>
      <c r="G200">
        <v>27.5</v>
      </c>
      <c r="I200">
        <v>107</v>
      </c>
      <c r="L200" s="1">
        <v>-1</v>
      </c>
    </row>
    <row r="201" spans="1:12" x14ac:dyDescent="0.45">
      <c r="A201" s="1" t="s">
        <v>340</v>
      </c>
      <c r="B201" s="1" t="s">
        <v>77</v>
      </c>
      <c r="C201" s="1" t="s">
        <v>137</v>
      </c>
      <c r="D201" s="1">
        <f>72+4</f>
        <v>76</v>
      </c>
      <c r="E201">
        <v>319</v>
      </c>
      <c r="F201">
        <v>5.36</v>
      </c>
      <c r="L201" s="1">
        <v>-1</v>
      </c>
    </row>
    <row r="202" spans="1:12" x14ac:dyDescent="0.45">
      <c r="A202" s="1" t="s">
        <v>138</v>
      </c>
      <c r="B202" s="1" t="s">
        <v>77</v>
      </c>
      <c r="C202" s="1" t="s">
        <v>20</v>
      </c>
      <c r="D202" s="1">
        <f>72+7</f>
        <v>79</v>
      </c>
      <c r="E202">
        <v>301</v>
      </c>
      <c r="F202">
        <v>5.27</v>
      </c>
      <c r="G202">
        <v>24</v>
      </c>
      <c r="H202">
        <v>12</v>
      </c>
      <c r="I202">
        <v>99</v>
      </c>
      <c r="J202">
        <v>8.01</v>
      </c>
      <c r="K202">
        <v>4.8499999999999996</v>
      </c>
      <c r="L202" s="1">
        <v>-1</v>
      </c>
    </row>
    <row r="203" spans="1:12" x14ac:dyDescent="0.45">
      <c r="A203" s="1" t="s">
        <v>341</v>
      </c>
      <c r="B203" s="1" t="s">
        <v>77</v>
      </c>
      <c r="C203" s="1" t="s">
        <v>11</v>
      </c>
      <c r="D203" s="1">
        <f>72+5</f>
        <v>77</v>
      </c>
      <c r="E203">
        <v>309</v>
      </c>
      <c r="L203" s="1">
        <v>-1</v>
      </c>
    </row>
    <row r="204" spans="1:12" x14ac:dyDescent="0.45">
      <c r="A204" s="1" t="s">
        <v>342</v>
      </c>
      <c r="B204" s="1" t="s">
        <v>77</v>
      </c>
      <c r="C204" s="1" t="s">
        <v>42</v>
      </c>
      <c r="D204" s="1">
        <f>72+4</f>
        <v>76</v>
      </c>
      <c r="E204">
        <v>305</v>
      </c>
      <c r="F204">
        <v>5.1100000000000003</v>
      </c>
      <c r="G204">
        <v>30</v>
      </c>
      <c r="H204">
        <v>22</v>
      </c>
      <c r="I204">
        <v>107</v>
      </c>
      <c r="J204">
        <v>7.34</v>
      </c>
      <c r="K204">
        <v>4.6399999999999997</v>
      </c>
      <c r="L204" s="1">
        <v>214</v>
      </c>
    </row>
    <row r="205" spans="1:12" x14ac:dyDescent="0.45">
      <c r="A205" s="1" t="s">
        <v>140</v>
      </c>
      <c r="B205" s="1" t="s">
        <v>77</v>
      </c>
      <c r="C205" s="1" t="s">
        <v>125</v>
      </c>
      <c r="D205" s="1">
        <f>72+4</f>
        <v>76</v>
      </c>
      <c r="E205">
        <v>312</v>
      </c>
      <c r="F205">
        <v>5.34</v>
      </c>
      <c r="G205">
        <v>29.5</v>
      </c>
      <c r="I205">
        <v>105</v>
      </c>
      <c r="J205">
        <v>7.7</v>
      </c>
      <c r="K205">
        <v>4.7699999999999996</v>
      </c>
      <c r="L205" s="1">
        <v>-1</v>
      </c>
    </row>
    <row r="206" spans="1:12" x14ac:dyDescent="0.45">
      <c r="A206" s="1" t="s">
        <v>343</v>
      </c>
      <c r="B206" s="1" t="s">
        <v>77</v>
      </c>
      <c r="C206" s="1" t="s">
        <v>22</v>
      </c>
      <c r="D206" s="1">
        <f>72+5</f>
        <v>77</v>
      </c>
      <c r="E206">
        <v>312</v>
      </c>
      <c r="F206">
        <v>4.96</v>
      </c>
      <c r="G206">
        <v>34.5</v>
      </c>
      <c r="I206">
        <v>118</v>
      </c>
      <c r="L206" s="1">
        <v>17</v>
      </c>
    </row>
    <row r="207" spans="1:12" x14ac:dyDescent="0.45">
      <c r="A207" s="1" t="s">
        <v>344</v>
      </c>
      <c r="B207" s="1" t="s">
        <v>29</v>
      </c>
      <c r="C207" s="1" t="s">
        <v>30</v>
      </c>
      <c r="D207" s="1">
        <f>72+7</f>
        <v>79</v>
      </c>
      <c r="E207">
        <v>313</v>
      </c>
      <c r="F207">
        <v>5.3</v>
      </c>
      <c r="G207">
        <v>29.5</v>
      </c>
      <c r="H207">
        <v>24</v>
      </c>
      <c r="I207">
        <v>111</v>
      </c>
      <c r="J207">
        <v>7.44</v>
      </c>
      <c r="K207">
        <v>4.59</v>
      </c>
      <c r="L207" s="1">
        <v>45</v>
      </c>
    </row>
    <row r="208" spans="1:12" x14ac:dyDescent="0.45">
      <c r="A208" s="1" t="s">
        <v>345</v>
      </c>
      <c r="B208" s="1" t="s">
        <v>77</v>
      </c>
      <c r="C208" s="1" t="s">
        <v>141</v>
      </c>
      <c r="D208" s="1">
        <f>72+2</f>
        <v>74</v>
      </c>
      <c r="E208">
        <v>320</v>
      </c>
      <c r="F208">
        <v>4.99</v>
      </c>
      <c r="G208">
        <v>32</v>
      </c>
      <c r="I208">
        <v>111</v>
      </c>
      <c r="J208">
        <v>7.54</v>
      </c>
      <c r="K208">
        <v>4.58</v>
      </c>
      <c r="L208" s="1">
        <v>98</v>
      </c>
    </row>
    <row r="209" spans="1:12" x14ac:dyDescent="0.45">
      <c r="A209" s="1" t="s">
        <v>142</v>
      </c>
      <c r="B209" s="1" t="s">
        <v>77</v>
      </c>
      <c r="C209" s="1" t="s">
        <v>69</v>
      </c>
      <c r="D209" s="1">
        <f>72+2</f>
        <v>74</v>
      </c>
      <c r="E209">
        <v>302</v>
      </c>
      <c r="F209">
        <v>5.1100000000000003</v>
      </c>
      <c r="G209">
        <v>32</v>
      </c>
      <c r="H209">
        <v>25</v>
      </c>
      <c r="I209">
        <v>109</v>
      </c>
      <c r="J209">
        <v>7.41</v>
      </c>
      <c r="K209">
        <v>4.62</v>
      </c>
      <c r="L209" s="1">
        <v>-1</v>
      </c>
    </row>
    <row r="210" spans="1:12" x14ac:dyDescent="0.45">
      <c r="A210" s="1" t="s">
        <v>346</v>
      </c>
      <c r="B210" s="1" t="s">
        <v>77</v>
      </c>
      <c r="C210" s="1" t="s">
        <v>63</v>
      </c>
      <c r="D210" s="1">
        <f>72+3</f>
        <v>75</v>
      </c>
      <c r="E210">
        <v>303</v>
      </c>
      <c r="F210">
        <v>5.31</v>
      </c>
      <c r="G210">
        <v>31</v>
      </c>
      <c r="H210">
        <v>26</v>
      </c>
      <c r="I210">
        <v>105</v>
      </c>
      <c r="J210">
        <v>7.39</v>
      </c>
      <c r="K210">
        <v>4.47</v>
      </c>
      <c r="L210" s="1">
        <v>230</v>
      </c>
    </row>
    <row r="211" spans="1:12" x14ac:dyDescent="0.45">
      <c r="A211" s="1" t="s">
        <v>347</v>
      </c>
      <c r="B211" s="1" t="s">
        <v>15</v>
      </c>
      <c r="C211" s="1" t="s">
        <v>120</v>
      </c>
      <c r="D211" s="1">
        <f>72+5</f>
        <v>77</v>
      </c>
      <c r="E211">
        <v>310</v>
      </c>
      <c r="H211">
        <v>29</v>
      </c>
      <c r="L211" s="1">
        <v>62</v>
      </c>
    </row>
    <row r="212" spans="1:12" x14ac:dyDescent="0.45">
      <c r="A212" s="1" t="s">
        <v>143</v>
      </c>
      <c r="B212" s="1" t="s">
        <v>77</v>
      </c>
      <c r="C212" s="1" t="s">
        <v>133</v>
      </c>
      <c r="D212" s="1">
        <f>72+2</f>
        <v>74</v>
      </c>
      <c r="E212">
        <v>301</v>
      </c>
      <c r="F212">
        <v>5.09</v>
      </c>
      <c r="G212">
        <v>29</v>
      </c>
      <c r="H212">
        <v>30</v>
      </c>
      <c r="I212">
        <v>102</v>
      </c>
      <c r="J212">
        <v>7.41</v>
      </c>
      <c r="K212">
        <v>4.53</v>
      </c>
      <c r="L212" s="1">
        <v>-1</v>
      </c>
    </row>
    <row r="213" spans="1:12" x14ac:dyDescent="0.45">
      <c r="A213" s="1" t="s">
        <v>144</v>
      </c>
      <c r="B213" s="1" t="s">
        <v>77</v>
      </c>
      <c r="C213" s="1" t="s">
        <v>62</v>
      </c>
      <c r="D213" s="1">
        <f>72+5</f>
        <v>77</v>
      </c>
      <c r="E213">
        <v>310</v>
      </c>
      <c r="F213">
        <v>5.14</v>
      </c>
      <c r="G213">
        <v>28</v>
      </c>
      <c r="H213">
        <v>23</v>
      </c>
      <c r="I213">
        <v>104</v>
      </c>
      <c r="J213">
        <v>7.91</v>
      </c>
      <c r="K213">
        <v>4.75</v>
      </c>
      <c r="L213" s="1">
        <v>-1</v>
      </c>
    </row>
    <row r="214" spans="1:12" x14ac:dyDescent="0.45">
      <c r="A214" s="1" t="s">
        <v>145</v>
      </c>
      <c r="B214" s="1" t="s">
        <v>77</v>
      </c>
      <c r="C214" s="1" t="s">
        <v>11</v>
      </c>
      <c r="D214" s="1">
        <f>72+5</f>
        <v>77</v>
      </c>
      <c r="E214">
        <v>300</v>
      </c>
      <c r="F214">
        <v>4.5199999999999996</v>
      </c>
      <c r="L214" s="1">
        <v>-1</v>
      </c>
    </row>
    <row r="215" spans="1:12" x14ac:dyDescent="0.45">
      <c r="A215" s="1" t="s">
        <v>348</v>
      </c>
      <c r="B215" s="1" t="s">
        <v>29</v>
      </c>
      <c r="C215" s="1" t="s">
        <v>139</v>
      </c>
      <c r="D215" s="1">
        <f>72+5</f>
        <v>77</v>
      </c>
      <c r="E215">
        <v>301</v>
      </c>
      <c r="F215">
        <v>5.16</v>
      </c>
      <c r="G215">
        <v>32</v>
      </c>
      <c r="H215">
        <v>24</v>
      </c>
      <c r="I215">
        <v>112</v>
      </c>
      <c r="J215">
        <v>7.27</v>
      </c>
      <c r="K215">
        <v>4.57</v>
      </c>
      <c r="L215" s="1">
        <v>53</v>
      </c>
    </row>
    <row r="216" spans="1:12" x14ac:dyDescent="0.45">
      <c r="A216" s="1" t="s">
        <v>146</v>
      </c>
      <c r="B216" s="1" t="s">
        <v>77</v>
      </c>
      <c r="C216" s="1" t="s">
        <v>147</v>
      </c>
      <c r="D216" s="1">
        <f>72+4</f>
        <v>76</v>
      </c>
      <c r="E216">
        <v>300</v>
      </c>
      <c r="F216">
        <v>5.04</v>
      </c>
      <c r="G216">
        <v>30.5</v>
      </c>
      <c r="H216">
        <v>22</v>
      </c>
      <c r="I216">
        <v>105</v>
      </c>
      <c r="J216">
        <v>7.76</v>
      </c>
      <c r="K216">
        <v>4.6399999999999997</v>
      </c>
      <c r="L216" s="1">
        <v>-1</v>
      </c>
    </row>
    <row r="217" spans="1:12" x14ac:dyDescent="0.45">
      <c r="A217" s="1" t="s">
        <v>148</v>
      </c>
      <c r="B217" s="1" t="s">
        <v>77</v>
      </c>
      <c r="C217" s="1" t="s">
        <v>30</v>
      </c>
      <c r="D217" s="1">
        <f>72+6</f>
        <v>78</v>
      </c>
      <c r="E217">
        <v>318</v>
      </c>
      <c r="F217">
        <v>5.54</v>
      </c>
      <c r="G217">
        <v>27</v>
      </c>
      <c r="H217">
        <v>26</v>
      </c>
      <c r="I217">
        <v>97</v>
      </c>
      <c r="J217">
        <v>7.63</v>
      </c>
      <c r="K217">
        <v>4.6900000000000004</v>
      </c>
      <c r="L217" s="1">
        <v>-1</v>
      </c>
    </row>
    <row r="218" spans="1:12" x14ac:dyDescent="0.45">
      <c r="A218" s="1" t="s">
        <v>149</v>
      </c>
      <c r="B218" s="1" t="s">
        <v>77</v>
      </c>
      <c r="C218" s="1" t="s">
        <v>122</v>
      </c>
      <c r="D218" s="1">
        <f>72+2</f>
        <v>74</v>
      </c>
      <c r="E218">
        <v>312</v>
      </c>
      <c r="F218">
        <v>5.67</v>
      </c>
      <c r="G218">
        <v>23.5</v>
      </c>
      <c r="H218">
        <v>26</v>
      </c>
      <c r="I218">
        <v>85</v>
      </c>
      <c r="J218">
        <v>8.51</v>
      </c>
      <c r="K218">
        <v>5.37</v>
      </c>
      <c r="L218" s="1">
        <v>-1</v>
      </c>
    </row>
    <row r="219" spans="1:12" x14ac:dyDescent="0.45">
      <c r="A219" s="1" t="s">
        <v>349</v>
      </c>
      <c r="B219" s="1" t="s">
        <v>77</v>
      </c>
      <c r="C219" s="1" t="s">
        <v>37</v>
      </c>
      <c r="D219" s="1">
        <f>72+4</f>
        <v>76</v>
      </c>
      <c r="E219">
        <v>331</v>
      </c>
      <c r="F219">
        <v>5.13</v>
      </c>
      <c r="G219">
        <v>28</v>
      </c>
      <c r="H219">
        <v>30</v>
      </c>
      <c r="I219">
        <v>109</v>
      </c>
      <c r="J219">
        <v>7.76</v>
      </c>
      <c r="K219">
        <v>4.68</v>
      </c>
      <c r="L219" s="1">
        <v>7</v>
      </c>
    </row>
    <row r="220" spans="1:12" x14ac:dyDescent="0.45">
      <c r="A220" s="1" t="s">
        <v>350</v>
      </c>
      <c r="B220" s="1" t="s">
        <v>77</v>
      </c>
      <c r="C220" s="1" t="s">
        <v>80</v>
      </c>
      <c r="D220" s="1">
        <f>72+3</f>
        <v>75</v>
      </c>
      <c r="E220">
        <v>304</v>
      </c>
      <c r="F220">
        <v>5.19</v>
      </c>
      <c r="G220">
        <v>26</v>
      </c>
      <c r="H220">
        <v>23</v>
      </c>
      <c r="I220">
        <v>108</v>
      </c>
      <c r="J220">
        <v>7.71</v>
      </c>
      <c r="K220">
        <v>4.82</v>
      </c>
      <c r="L220" s="1">
        <v>197</v>
      </c>
    </row>
    <row r="221" spans="1:12" x14ac:dyDescent="0.45">
      <c r="A221" s="1" t="s">
        <v>150</v>
      </c>
      <c r="B221" s="1" t="s">
        <v>77</v>
      </c>
      <c r="C221" s="1" t="s">
        <v>111</v>
      </c>
      <c r="D221" s="1">
        <f>72+3</f>
        <v>75</v>
      </c>
      <c r="E221">
        <v>319</v>
      </c>
      <c r="F221">
        <v>5.49</v>
      </c>
      <c r="G221">
        <v>24</v>
      </c>
      <c r="H221">
        <v>20</v>
      </c>
      <c r="I221">
        <v>93</v>
      </c>
      <c r="J221">
        <v>8.1999999999999993</v>
      </c>
      <c r="K221">
        <v>5.0199999999999996</v>
      </c>
      <c r="L221" s="1">
        <v>-1</v>
      </c>
    </row>
    <row r="222" spans="1:12" x14ac:dyDescent="0.45">
      <c r="A222" s="1" t="s">
        <v>351</v>
      </c>
      <c r="B222" s="1" t="s">
        <v>77</v>
      </c>
      <c r="C222" s="1" t="s">
        <v>68</v>
      </c>
      <c r="D222" s="1">
        <f>72+4</f>
        <v>76</v>
      </c>
      <c r="E222">
        <v>304</v>
      </c>
      <c r="F222">
        <v>4.91</v>
      </c>
      <c r="G222">
        <v>33</v>
      </c>
      <c r="H222">
        <v>33</v>
      </c>
      <c r="I222">
        <v>112</v>
      </c>
      <c r="J222">
        <v>7.48</v>
      </c>
      <c r="K222">
        <v>4.45</v>
      </c>
      <c r="L222" s="1">
        <v>13</v>
      </c>
    </row>
    <row r="223" spans="1:12" x14ac:dyDescent="0.45">
      <c r="A223" s="1" t="s">
        <v>151</v>
      </c>
      <c r="B223" s="1" t="s">
        <v>77</v>
      </c>
      <c r="C223" s="1" t="s">
        <v>60</v>
      </c>
      <c r="D223" s="1">
        <f>72+5</f>
        <v>77</v>
      </c>
      <c r="E223">
        <v>305</v>
      </c>
      <c r="F223">
        <v>5.29</v>
      </c>
      <c r="G223">
        <v>29</v>
      </c>
      <c r="H223">
        <v>24</v>
      </c>
      <c r="I223">
        <v>113</v>
      </c>
      <c r="J223">
        <v>7.96</v>
      </c>
      <c r="K223">
        <v>4.8099999999999996</v>
      </c>
      <c r="L223" s="1">
        <v>-1</v>
      </c>
    </row>
    <row r="224" spans="1:12" x14ac:dyDescent="0.45">
      <c r="A224" s="1" t="s">
        <v>152</v>
      </c>
      <c r="B224" s="1" t="s">
        <v>77</v>
      </c>
      <c r="C224" s="1" t="s">
        <v>49</v>
      </c>
      <c r="D224" s="1">
        <f>72+3</f>
        <v>75</v>
      </c>
      <c r="E224">
        <v>288</v>
      </c>
      <c r="F224">
        <v>5.59</v>
      </c>
      <c r="G224">
        <v>21</v>
      </c>
      <c r="H224">
        <v>32</v>
      </c>
      <c r="I224">
        <v>93</v>
      </c>
      <c r="J224">
        <v>8.06</v>
      </c>
      <c r="K224">
        <v>4.95</v>
      </c>
      <c r="L224" s="1">
        <v>-1</v>
      </c>
    </row>
    <row r="225" spans="1:12" x14ac:dyDescent="0.45">
      <c r="A225" s="1" t="s">
        <v>352</v>
      </c>
      <c r="B225" s="1" t="s">
        <v>77</v>
      </c>
      <c r="C225" s="1" t="s">
        <v>153</v>
      </c>
      <c r="D225" s="1">
        <f>72+5</f>
        <v>77</v>
      </c>
      <c r="E225">
        <v>311</v>
      </c>
      <c r="F225">
        <v>5.21</v>
      </c>
      <c r="G225">
        <v>26</v>
      </c>
      <c r="H225">
        <v>36</v>
      </c>
      <c r="I225">
        <v>94</v>
      </c>
      <c r="J225">
        <v>8.25</v>
      </c>
      <c r="K225">
        <v>4.8899999999999997</v>
      </c>
      <c r="L225" s="1">
        <v>-1</v>
      </c>
    </row>
    <row r="226" spans="1:12" x14ac:dyDescent="0.45">
      <c r="A226" s="1" t="s">
        <v>353</v>
      </c>
      <c r="B226" s="1" t="s">
        <v>77</v>
      </c>
      <c r="C226" s="1" t="s">
        <v>33</v>
      </c>
      <c r="D226" s="1">
        <f>72+4</f>
        <v>76</v>
      </c>
      <c r="E226">
        <v>308</v>
      </c>
      <c r="F226">
        <v>5.05</v>
      </c>
      <c r="G226">
        <v>32</v>
      </c>
      <c r="H226">
        <v>36</v>
      </c>
      <c r="I226">
        <v>106</v>
      </c>
      <c r="J226">
        <v>7.67</v>
      </c>
      <c r="K226">
        <v>4.7</v>
      </c>
      <c r="L226" s="1">
        <v>14</v>
      </c>
    </row>
    <row r="227" spans="1:12" x14ac:dyDescent="0.45">
      <c r="A227" s="1" t="s">
        <v>154</v>
      </c>
      <c r="B227" s="1" t="s">
        <v>77</v>
      </c>
      <c r="C227" s="1" t="s">
        <v>68</v>
      </c>
      <c r="D227" s="1">
        <f>72+6</f>
        <v>78</v>
      </c>
      <c r="E227">
        <v>306</v>
      </c>
      <c r="F227">
        <v>5.47</v>
      </c>
      <c r="G227">
        <v>26</v>
      </c>
      <c r="H227">
        <v>23</v>
      </c>
      <c r="I227">
        <v>105</v>
      </c>
      <c r="J227">
        <v>7.67</v>
      </c>
      <c r="K227">
        <v>4.92</v>
      </c>
      <c r="L227" s="1">
        <v>-1</v>
      </c>
    </row>
    <row r="228" spans="1:12" x14ac:dyDescent="0.45">
      <c r="A228" s="1" t="s">
        <v>155</v>
      </c>
      <c r="B228" s="1" t="s">
        <v>77</v>
      </c>
      <c r="C228" s="1" t="s">
        <v>116</v>
      </c>
      <c r="D228" s="1">
        <f>72+4</f>
        <v>76</v>
      </c>
      <c r="E228">
        <v>254</v>
      </c>
      <c r="F228">
        <v>4.79</v>
      </c>
      <c r="G228">
        <v>38</v>
      </c>
      <c r="H228">
        <v>18</v>
      </c>
      <c r="I228">
        <v>115</v>
      </c>
      <c r="L228" s="1">
        <v>-1</v>
      </c>
    </row>
    <row r="229" spans="1:12" x14ac:dyDescent="0.45">
      <c r="A229" s="1" t="s">
        <v>354</v>
      </c>
      <c r="B229" s="1" t="s">
        <v>29</v>
      </c>
      <c r="C229" s="1" t="s">
        <v>95</v>
      </c>
      <c r="D229" s="1">
        <f>72+6</f>
        <v>78</v>
      </c>
      <c r="E229">
        <v>310</v>
      </c>
      <c r="F229">
        <v>5</v>
      </c>
      <c r="G229">
        <v>30.5</v>
      </c>
      <c r="H229">
        <v>34</v>
      </c>
      <c r="I229">
        <v>108</v>
      </c>
      <c r="J229">
        <v>7.7</v>
      </c>
      <c r="K229">
        <v>4.8899999999999997</v>
      </c>
      <c r="L229" s="1">
        <v>206</v>
      </c>
    </row>
  </sheetData>
  <dataConsolidate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45985-5115-49CC-BCAE-EF93D6D03F32}"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42A10E-8EC4-4E07-82D7-5C2DD69D29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Append21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Barber-Ormerod</dc:creator>
  <cp:lastModifiedBy>Gianluca</cp:lastModifiedBy>
  <dcterms:created xsi:type="dcterms:W3CDTF">2022-03-07T16:45:50Z</dcterms:created>
  <dcterms:modified xsi:type="dcterms:W3CDTF">2022-03-21T15:01:03Z</dcterms:modified>
</cp:coreProperties>
</file>